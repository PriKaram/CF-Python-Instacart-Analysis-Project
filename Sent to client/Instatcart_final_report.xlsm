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workbookPr/>
  <mc:AlternateContent xmlns:mc="http://schemas.openxmlformats.org/markup-compatibility/2006">
    <mc:Choice Requires="x15">
      <x15ac:absPath xmlns:x15ac="http://schemas.microsoft.com/office/spreadsheetml/2010/11/ac" url="C:\Users\nikman\Desktop\CareerFoundry Project\Achievement 4\02-2024 Instacart Basket Analysis\Sent to client\"/>
    </mc:Choice>
  </mc:AlternateContent>
  <xr:revisionPtr revIDLastSave="0" documentId="13_ncr:1_{916F0EB8-C798-450C-A969-A64C7DFEA67B}" xr6:coauthVersionLast="47" xr6:coauthVersionMax="47" xr10:uidLastSave="{00000000-0000-0000-0000-000000000000}"/>
  <bookViews>
    <workbookView xWindow="28680" yWindow="-120" windowWidth="29040" windowHeight="15840" tabRatio="808" xr2:uid="{00000000-000D-0000-FFFF-FFFF00000000}"/>
  </bookViews>
  <sheets>
    <sheet name="1. Title Page" sheetId="1" r:id="rId1"/>
    <sheet name="Data Citation Tab" sheetId="12" r:id="rId2"/>
    <sheet name="2. Population Flow" sheetId="11" r:id="rId3"/>
    <sheet name="3. Consistency checks" sheetId="4" r:id="rId4"/>
    <sheet name="4. Wrangling steps" sheetId="3" r:id="rId5"/>
    <sheet name="5. Column derivations" sheetId="6" r:id="rId6"/>
    <sheet name="6. Visualizations" sheetId="7" r:id="rId7"/>
    <sheet name="7. Recommendations" sheetId="9" r:id="rId8"/>
  </sheets>
  <definedNames>
    <definedName name="GetLinks">LINKS()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 i="12" l="1"/>
  <c r="A7" i="12"/>
</calcChain>
</file>

<file path=xl/sharedStrings.xml><?xml version="1.0" encoding="utf-8"?>
<sst xmlns="http://schemas.openxmlformats.org/spreadsheetml/2006/main" count="231" uniqueCount="187">
  <si>
    <t>Contents:</t>
  </si>
  <si>
    <t>Columns dropped</t>
  </si>
  <si>
    <t>Columns renamed</t>
  </si>
  <si>
    <t>Columns' type changed</t>
  </si>
  <si>
    <t>Comment/Reason</t>
  </si>
  <si>
    <t xml:space="preserve">New column </t>
  </si>
  <si>
    <t>Dataset</t>
  </si>
  <si>
    <t>Missing values</t>
  </si>
  <si>
    <t>Missing values treatment</t>
  </si>
  <si>
    <t>Duplicates</t>
  </si>
  <si>
    <t>orders</t>
  </si>
  <si>
    <t>products</t>
  </si>
  <si>
    <t>orders_products_prior</t>
  </si>
  <si>
    <t>customers</t>
  </si>
  <si>
    <t xml:space="preserve">Column/s it was derived from </t>
  </si>
  <si>
    <t>Population Flow</t>
  </si>
  <si>
    <t>Consistency checks</t>
  </si>
  <si>
    <t>Wrangling steps</t>
  </si>
  <si>
    <t>Column derivations</t>
  </si>
  <si>
    <t>Title page</t>
  </si>
  <si>
    <t>Visualizations</t>
  </si>
  <si>
    <t>Question</t>
  </si>
  <si>
    <t>Answer</t>
  </si>
  <si>
    <t>Conditions</t>
  </si>
  <si>
    <t>Recommendations</t>
  </si>
  <si>
    <t>days_since_last_order: 206209 rows</t>
  </si>
  <si>
    <t>left as it is</t>
  </si>
  <si>
    <t>Left missing values out and created a new dataframe: "df_prods_clean" with no missingg values</t>
  </si>
  <si>
    <t>product_name: 16 rows</t>
  </si>
  <si>
    <t>5 rows of duplicate data in dp_prods were dropped and new dataframe created called:"df_prods_clean_no_dups" with no duplicates.</t>
  </si>
  <si>
    <t>No duplicate values found</t>
  </si>
  <si>
    <t>"eval_set" column from df_ords was dropped</t>
  </si>
  <si>
    <t>changed data type of column "order_id" to string/object in df_ords</t>
  </si>
  <si>
    <t>'order_dow" to a new name "orders_day_of_week" in df_ords"</t>
  </si>
  <si>
    <t xml:space="preserve">eval_set has data "prior" data which is not relevant to ur analysis. </t>
  </si>
  <si>
    <t>Order_dow is unintutive thus name changed.</t>
  </si>
  <si>
    <t>order_id is is for identification and has no quantitative data. Changing data type to string will prevent python from performing statistical functions on this column</t>
  </si>
  <si>
    <t xml:space="preserve">changed data type of column"user_id" in df_ords to string </t>
  </si>
  <si>
    <t>user_id is is for identification and has no quantitative data. Changing data type to string will prevent python from performing statistical functions on this column</t>
  </si>
  <si>
    <t xml:space="preserve"> change unintutive column name:"days_since_prior_order" to "days_since_last_order"</t>
  </si>
  <si>
    <t>Unintutive column name changed</t>
  </si>
  <si>
    <t>Renaming column name "_merge" in df_combined as I was getting a value error and cannot name the indicated column of the df_merged_final same as the "_merge" column in the df_combined dataframe¶</t>
  </si>
  <si>
    <t>_merge</t>
  </si>
  <si>
    <t>df_merged_large</t>
  </si>
  <si>
    <t>order_id</t>
  </si>
  <si>
    <t>df_merged_large_outer</t>
  </si>
  <si>
    <t>Indicater= True, outer join</t>
  </si>
  <si>
    <t>indicator = True, inner join</t>
  </si>
  <si>
    <t>df_merged_final</t>
  </si>
  <si>
    <t>_merge, later name renamed to: df_combined_merge</t>
  </si>
  <si>
    <t>product_id</t>
  </si>
  <si>
    <t>df_merged_final_2</t>
  </si>
  <si>
    <t>price_range</t>
  </si>
  <si>
    <t>df(subset with 1000000 rows from df_ords_prods_merge dataframe</t>
  </si>
  <si>
    <t>prices</t>
  </si>
  <si>
    <t>f the item’s price is lower than or equal to $5, it will be labeled a “low-range product.”
If the item’s price is above $5 but lower than or equal to $15, it will be labeled a “mid-range product.”
If the item’s price is above $15, it will be labeled a “high-range product.”</t>
  </si>
  <si>
    <t>price_range_loc</t>
  </si>
  <si>
    <t>df</t>
  </si>
  <si>
    <t>df_ords_prods_merge</t>
  </si>
  <si>
    <t>order_dow</t>
  </si>
  <si>
    <t>busiest_day</t>
  </si>
  <si>
    <t>“Busiest day is 0(Saturday),” “Least busy is 4 (Wednesday),” and “Regularly busy are other days.</t>
  </si>
  <si>
    <t>busiest_period_of_day</t>
  </si>
  <si>
    <t>order_hour_of_day</t>
  </si>
  <si>
    <t>Most orders = 10,11,14,15,13,12,16,9</t>
  </si>
  <si>
    <t>Average orders = 17,8,18,19,20,7,21,22</t>
  </si>
  <si>
    <t>Fewest orders = 23,6,0,1,5,2,4,3</t>
  </si>
  <si>
    <t>busiest_days</t>
  </si>
  <si>
    <t>two busiest days= 0(Saturday) and 1(Sunday) and two slowest days = 4(Wednesday and 3(Tuesday)</t>
  </si>
  <si>
    <t>Data Citation</t>
  </si>
  <si>
    <t>No missing values</t>
  </si>
  <si>
    <t>None</t>
  </si>
  <si>
    <t>No full row duplicates found</t>
  </si>
  <si>
    <t>Customer data set: Renaming column "Surnam" to Last_Name "fam_status" to family_status" and  "n_dependants" to Number_of_dependants</t>
  </si>
  <si>
    <t>Customer data set: : changing data type of column:"user_id" to string so it doesnt get used for aggregation</t>
  </si>
  <si>
    <t xml:space="preserve">Customer data set: Dropping columns: "Gender" and "date_joined" as they are not needed for our analysis </t>
  </si>
  <si>
    <t>Customer data set:</t>
  </si>
  <si>
    <t>Orders Data Set</t>
  </si>
  <si>
    <t>Products Data Set</t>
  </si>
  <si>
    <t>max_order_no</t>
  </si>
  <si>
    <t>ords_prods-merge</t>
  </si>
  <si>
    <t>order_number</t>
  </si>
  <si>
    <t>to determine maximum order number for each use</t>
  </si>
  <si>
    <t>rmaximum orders the user has made is over 40, then the customer will be labeled a “Loyal customer.”
maximum orders the user has made is over 10 but less than or equal to 40, then the customer will be labeled a “Regular customer                                                      maximum orders the user has made is less than or equal to 10, then the customer will be labeled a “New customer.”</t>
  </si>
  <si>
    <t>Loyalty_flag</t>
  </si>
  <si>
    <t>ords_prods_merge</t>
  </si>
  <si>
    <t>avg_price_orders</t>
  </si>
  <si>
    <t>to calculate mean of prices of products</t>
  </si>
  <si>
    <t>spending_flag</t>
  </si>
  <si>
    <r>
      <t>If the mean of the prices of products purchased by a user is lower than 10, then flag them as a “</t>
    </r>
    <r>
      <rPr>
        <b/>
        <sz val="11"/>
        <color theme="1"/>
        <rFont val="Calibri"/>
        <family val="2"/>
        <scheme val="minor"/>
      </rPr>
      <t>Low spender.”</t>
    </r>
    <r>
      <rPr>
        <sz val="11"/>
        <color theme="1"/>
        <rFont val="Calibri"/>
        <family val="2"/>
        <scheme val="minor"/>
      </rPr>
      <t xml:space="preserve">
If the mean of the prices of products purchased by a user is higher than or equal to 10, then flag them as a “</t>
    </r>
    <r>
      <rPr>
        <b/>
        <sz val="11"/>
        <color theme="1"/>
        <rFont val="Calibri"/>
        <family val="2"/>
        <scheme val="minor"/>
      </rPr>
      <t>High spender.”</t>
    </r>
  </si>
  <si>
    <t>median_days_since_prior_order</t>
  </si>
  <si>
    <t>days_since_prior_order</t>
  </si>
  <si>
    <t xml:space="preserve"> median in the “days_since_prior_order” column</t>
  </si>
  <si>
    <t>frequency_flag</t>
  </si>
  <si>
    <r>
      <t xml:space="preserve">If the median of “days_since_prior_order” is higher than 20, then the customer should be labeled a </t>
    </r>
    <r>
      <rPr>
        <b/>
        <sz val="11"/>
        <color theme="1"/>
        <rFont val="Calibri"/>
        <family val="2"/>
        <scheme val="minor"/>
      </rPr>
      <t>“Non-frequent customer.”</t>
    </r>
    <r>
      <rPr>
        <sz val="11"/>
        <color theme="1"/>
        <rFont val="Calibri"/>
        <family val="2"/>
        <scheme val="minor"/>
      </rPr>
      <t xml:space="preserve">
If the median is higher than 10 and lower than or equal to 20, then the customer should be labeled a </t>
    </r>
    <r>
      <rPr>
        <b/>
        <sz val="11"/>
        <color theme="1"/>
        <rFont val="Calibri"/>
        <family val="2"/>
        <scheme val="minor"/>
      </rPr>
      <t>“Regular customer.”</t>
    </r>
    <r>
      <rPr>
        <sz val="11"/>
        <color theme="1"/>
        <rFont val="Calibri"/>
        <family val="2"/>
        <scheme val="minor"/>
      </rPr>
      <t xml:space="preserve">
If the median is lower than or equal to 10, then the customer should be labeled a </t>
    </r>
    <r>
      <rPr>
        <b/>
        <sz val="11"/>
        <color theme="1"/>
        <rFont val="Calibri"/>
        <family val="2"/>
        <scheme val="minor"/>
      </rPr>
      <t>“Frequent customer.”</t>
    </r>
  </si>
  <si>
    <t xml:space="preserve"> on March 2024</t>
  </si>
  <si>
    <t>The Instacart Online Grocery Shopping Dataset 2017 Accessed from:</t>
  </si>
  <si>
    <t xml:space="preserve">The sales team needs to know what the busiest days of the week and hours of the
day are (i.e., the days and times with the most orders) in order to schedule ads at
times when there are fewer orders.  </t>
  </si>
  <si>
    <t xml:space="preserve">Key Question 1: </t>
  </si>
  <si>
    <t>Instacart has a lot of products with different price tags. Marketing and sales want to
use simpler price range groupings to help direct their efforts.</t>
  </si>
  <si>
    <t>What’s the distribution among users in regards to their brand loyalty (i.e., how
often do they return to Instacart)?</t>
  </si>
  <si>
    <t>Are there differences in ordering habits based on a customer’s loyalty status?</t>
  </si>
  <si>
    <t>What particular times of the day when people
spend the most money, as this might inform the type of products they advertise at
these times.</t>
  </si>
  <si>
    <t>Are there differences in ordering habits based on a customer’s region?</t>
  </si>
  <si>
    <t>What different classifications does the demographic information suggest?
Age? Income? Certain types of goods? Family status?</t>
  </si>
  <si>
    <t>What differences can you find in ordering habits of different customer
profiles? Consider the price of orders, the frequency of orders, the products
customers are ordering, and anything else you can think of.</t>
  </si>
  <si>
    <t>0= Saturday, 1 = Sunday, 2= Monday, 3= Tuesday, 4= Wednesday, 5= Thursday, 6= Friday</t>
  </si>
  <si>
    <t>Saturday and Sunday  are the busiest day of the week and Tuesday and Wednesday and the least busy days of the week</t>
  </si>
  <si>
    <t xml:space="preserve">The busiest days of the week </t>
  </si>
  <si>
    <t xml:space="preserve">The busiest hour of the day </t>
  </si>
  <si>
    <t>The most active period during the day spans from 9:00 AM until 4:00 PM, maintaining its high level of activity. However, activity gradually declines after 4:00 PM, reaching its lowest point after midnight and between 5:00 AM.</t>
  </si>
  <si>
    <t>Key Question 2:</t>
  </si>
  <si>
    <t>Times of the day when people
spend the most money based on Regions</t>
  </si>
  <si>
    <t xml:space="preserve">Times of the day when people
spend the most money </t>
  </si>
  <si>
    <r>
      <t xml:space="preserve">By Price of Products and Regions:                                                    Price of products are </t>
    </r>
    <r>
      <rPr>
        <b/>
        <sz val="14"/>
        <color rgb="FFFF0000"/>
        <rFont val="Calibri"/>
        <family val="2"/>
        <scheme val="minor"/>
      </rPr>
      <t>higher</t>
    </r>
    <r>
      <rPr>
        <b/>
        <sz val="14"/>
        <color theme="1"/>
        <rFont val="Calibri"/>
        <family val="2"/>
        <scheme val="minor"/>
      </rPr>
      <t xml:space="preserve"> in the NorthEast Region and </t>
    </r>
    <r>
      <rPr>
        <b/>
        <sz val="14"/>
        <color theme="4" tint="-0.249977111117893"/>
        <rFont val="Calibri"/>
        <family val="2"/>
        <scheme val="minor"/>
      </rPr>
      <t>lowest</t>
    </r>
    <r>
      <rPr>
        <b/>
        <sz val="14"/>
        <color theme="1"/>
        <rFont val="Calibri"/>
        <family val="2"/>
        <scheme val="minor"/>
      </rPr>
      <t xml:space="preserve"> in the South Region between 5 to 6 AM. </t>
    </r>
  </si>
  <si>
    <t>Show distribution of price range groupings to help direct their efforts of Marketing and Sales</t>
  </si>
  <si>
    <t>Key Question: 3</t>
  </si>
  <si>
    <t>Mid_Range Products highest sale: 67.5%                                       Low-Range Products: 2nd highest sales: 30.5%
High_Range Products: 1.3%
Missing Values: 0.7%</t>
  </si>
  <si>
    <t>Key Question: 4</t>
  </si>
  <si>
    <t>Products that are more are more popular than others</t>
  </si>
  <si>
    <t xml:space="preserve">Prices are constant throughout the day except for a dip  between 3AM to 5AM 
</t>
  </si>
  <si>
    <t>Key Question: 5</t>
  </si>
  <si>
    <t xml:space="preserve">Distribution among users in regards to their brand loyalty </t>
  </si>
  <si>
    <t>Regular Customers: 49%
Loyal Customers: 31.7%
New Customers: 19.3%</t>
  </si>
  <si>
    <t>Key Question: 6</t>
  </si>
  <si>
    <t xml:space="preserve"> Customer’s loyalty status based on Day of the week</t>
  </si>
  <si>
    <t xml:space="preserve"> Customer’s loyalty status based on Hour of the Day</t>
  </si>
  <si>
    <t>Loyal Customers have high orders between 10:00 AM to 4:00 PM and orders decline after 4:00 PM</t>
  </si>
  <si>
    <t>Key Question: 7</t>
  </si>
  <si>
    <t>Ordering habits with Hour of Day based on a customer’s region</t>
  </si>
  <si>
    <t>Ordering habits with Day of Week based on a customer’s region</t>
  </si>
  <si>
    <t>South Region have the highest orders 
Northeast Region have the least orders
The pattern of day of week ordering stays the same</t>
  </si>
  <si>
    <t>Key Question: 8</t>
  </si>
  <si>
    <t>Is there a connection between age and family status in terms of ordering habits?</t>
  </si>
  <si>
    <t>Connection between age and family status in terms of ordering habits</t>
  </si>
  <si>
    <t>Key Question: 9</t>
  </si>
  <si>
    <t>Income Criteria: Low Income &lt; 90,000 and High Income &gt; 90,000</t>
  </si>
  <si>
    <t>Dependant Status</t>
  </si>
  <si>
    <t>Which products are more popular than others? The marketing
and sales teams want to know which departments have the highest frequency of
product orders</t>
  </si>
  <si>
    <t>Age_Criteria: Young Adult &lt; 30, Middle Aged Adult &gt;=30 &amp; &lt;= 50, Senior Adult &gt; 50</t>
  </si>
  <si>
    <t>Highest Count of Customers: Senior Adult Category
Lowest Count of Customers: Young Adult Category</t>
  </si>
  <si>
    <t>Highest Count of Customers: High Income Category
Lowest Count of Customers: Low Income Category</t>
  </si>
  <si>
    <t>Highest Count of Customers: Dependants
Lowest Count of Customers: No Dependants</t>
  </si>
  <si>
    <t>Key Question: 10</t>
  </si>
  <si>
    <t>Price of Products</t>
  </si>
  <si>
    <t>Product High and Low Income Customers are ordering</t>
  </si>
  <si>
    <t>High Income Customers ordering : Medium-range products
Low Income Customers ordering: Medium-range products
Lest orders are of High-range products for both High and Low Income customers</t>
  </si>
  <si>
    <t>Products ordered the most range between $2 to $15
Products ordered lest range over $15</t>
  </si>
  <si>
    <t>Income Criteria based on Region</t>
  </si>
  <si>
    <t>South Region: highest number of Customers for High and Low Income Category
Northeast Region: lowest number of customers for High and Low Income Category</t>
  </si>
  <si>
    <t>Loyal Customers have most orders: Saturday and Sunday
Loyal Customers have least orders: Tuesday &amp; Wednesday</t>
  </si>
  <si>
    <t>Key Answer 1:</t>
  </si>
  <si>
    <t>Key Answer 2:</t>
  </si>
  <si>
    <t>Key Answer 3:</t>
  </si>
  <si>
    <t>Key Answer 4:</t>
  </si>
  <si>
    <t>Key Question 3:</t>
  </si>
  <si>
    <t xml:space="preserve">Key Question 4: </t>
  </si>
  <si>
    <t xml:space="preserve">Key Question 5: </t>
  </si>
  <si>
    <t>Key Question 6:</t>
  </si>
  <si>
    <t>Key Question 7:</t>
  </si>
  <si>
    <t>Key Question 8:</t>
  </si>
  <si>
    <t>Key Question 9:</t>
  </si>
  <si>
    <t>Key Question 10:</t>
  </si>
  <si>
    <t>Key Answer 5:</t>
  </si>
  <si>
    <t>Key Answer 7:</t>
  </si>
  <si>
    <t>Key Answer 6:</t>
  </si>
  <si>
    <t>Key Answer 8:</t>
  </si>
  <si>
    <t>Key Answer 9:</t>
  </si>
  <si>
    <t>Key Answer 10:</t>
  </si>
  <si>
    <t>Highest Selling : Produce,Dairy/Eggs and Snacks
Lowest Selling: Bulk,Other and Dressing</t>
  </si>
  <si>
    <r>
      <t xml:space="preserve">►We have categorized products based on prize into 3 categories: i)Low-range, ii) MId-range, iii)High-range
Amongst these three: </t>
    </r>
    <r>
      <rPr>
        <b/>
        <sz val="14"/>
        <color theme="1"/>
        <rFont val="Calibri"/>
        <family val="2"/>
        <scheme val="minor"/>
      </rPr>
      <t>Mid-range products are the most popular</t>
    </r>
    <r>
      <rPr>
        <sz val="14"/>
        <color theme="1"/>
        <rFont val="Calibri"/>
        <family val="2"/>
        <scheme val="minor"/>
      </rPr>
      <t>, followed by low-range products. High-range products have a relatively smaller market share. Additionally, there's a small proportion of sales with missing values.
►The marketing and sales team can focus their efforts on</t>
    </r>
    <r>
      <rPr>
        <b/>
        <sz val="14"/>
        <color theme="1"/>
        <rFont val="Calibri"/>
        <family val="2"/>
        <scheme val="minor"/>
      </rPr>
      <t xml:space="preserve"> promoting mid-range and low-range products</t>
    </r>
    <r>
      <rPr>
        <sz val="14"/>
        <color theme="1"/>
        <rFont val="Calibri"/>
        <family val="2"/>
        <scheme val="minor"/>
      </rPr>
      <t>, as they collectively make up a significant portion of sales. They should also ensure that missing values are addressed to provide accurate insights into sales data. This could involve identifying and resolving issues with data collection or ensuring that all products are properly categorized with price information.</t>
    </r>
  </si>
  <si>
    <r>
      <t>►</t>
    </r>
    <r>
      <rPr>
        <b/>
        <sz val="14"/>
        <color theme="1"/>
        <rFont val="Calibri"/>
        <family val="2"/>
        <scheme val="minor"/>
      </rPr>
      <t>Popular departments:</t>
    </r>
    <r>
      <rPr>
        <sz val="14"/>
        <color theme="1"/>
        <rFont val="Calibri"/>
        <family val="2"/>
        <scheme val="minor"/>
      </rPr>
      <t xml:space="preserve">  The Produce, Dairy/Eggs, and Snacks departments have demonstrated higher frequency of product orders, indicating stronger customer interest.Marketing and sales team can promote products from these departments
►</t>
    </r>
    <r>
      <rPr>
        <b/>
        <sz val="14"/>
        <color theme="1"/>
        <rFont val="Calibri"/>
        <family val="2"/>
        <scheme val="minor"/>
      </rPr>
      <t>Analyze and Improve Low-Selling Departments:</t>
    </r>
    <r>
      <rPr>
        <sz val="14"/>
        <color theme="1"/>
        <rFont val="Calibri"/>
        <family val="2"/>
        <scheme val="minor"/>
      </rPr>
      <t xml:space="preserve"> Conduct market research and customer surveys to better understand customer preferences and identify opportunities for improvement with lowest selling departments- bulk, other and dressing.
</t>
    </r>
    <r>
      <rPr>
        <b/>
        <sz val="14"/>
        <color theme="1"/>
        <rFont val="Calibri"/>
        <family val="2"/>
        <scheme val="minor"/>
      </rPr>
      <t>►Cross-Promotion and Bundling:</t>
    </r>
    <r>
      <rPr>
        <sz val="14"/>
        <color theme="1"/>
        <rFont val="Calibri"/>
        <family val="2"/>
        <scheme val="minor"/>
      </rPr>
      <t xml:space="preserve"> offer discounts or bundle deals that include products from both the Produce and Dressing departments to encourage customers to explore less popular categories
</t>
    </r>
  </si>
  <si>
    <r>
      <t xml:space="preserve">Distribution among users on their brand loyalty on Instacart: </t>
    </r>
    <r>
      <rPr>
        <b/>
        <sz val="14"/>
        <color theme="1"/>
        <rFont val="Calibri"/>
        <family val="2"/>
        <scheme val="minor"/>
      </rPr>
      <t>Regular Customers: 49%, Loyal Customers: 31.7%, New Customers: 19.3%
►Customer Retention Strategies:</t>
    </r>
    <r>
      <rPr>
        <sz val="14"/>
        <color theme="1"/>
        <rFont val="Calibri"/>
        <family val="2"/>
        <scheme val="minor"/>
      </rPr>
      <t xml:space="preserve"> Focus on retaining regular and loyal customers by implementing customer loyalty programs, personalized offers, and rewards for repeat purchases
►</t>
    </r>
    <r>
      <rPr>
        <b/>
        <sz val="14"/>
        <color theme="1"/>
        <rFont val="Calibri"/>
        <family val="2"/>
        <scheme val="minor"/>
      </rPr>
      <t xml:space="preserve">Onboarding and Engagement for New Customers: </t>
    </r>
    <r>
      <rPr>
        <sz val="14"/>
        <color theme="1"/>
        <rFont val="Calibri"/>
        <family val="2"/>
        <scheme val="minor"/>
      </rPr>
      <t>Develop targeted onboarding processes and engagement strategies for new customers to enhance their initial experience with Instacart
►</t>
    </r>
    <r>
      <rPr>
        <b/>
        <sz val="14"/>
        <color theme="1"/>
        <rFont val="Calibri"/>
        <family val="2"/>
        <scheme val="minor"/>
      </rPr>
      <t>Feedback Mechanisms:</t>
    </r>
    <r>
      <rPr>
        <sz val="14"/>
        <color theme="1"/>
        <rFont val="Calibri"/>
        <family val="2"/>
        <scheme val="minor"/>
      </rPr>
      <t xml:space="preserve"> Implement feedback mechanisms to gather insights from customers at different stages of their journey, including new, regular, and loyal customers.</t>
    </r>
  </si>
  <si>
    <t>Customer’s loyalty status based on Price Range of products</t>
  </si>
  <si>
    <t>Loyal Customers have high orders of medium-range products and least orders of low-range products</t>
  </si>
  <si>
    <r>
      <t xml:space="preserve">►Loyal customers place the orders during weekends (Saturday and Sunday) and fewer orders midweek period (Tuesday &amp; Wednesday), indicating a preference for weekend shopping.
►Peak ordering hours for loyal customers occur between 10:00 AM to 4:00 PM, suggesting that they are more active during daytime hours.
There is a decline in orders after 4:00 PM, indicating a shift in behavior towards the latter part of the day.
►Loyal customers show a preference for medium-range products, with fewer orders placed for low-range products.
</t>
    </r>
    <r>
      <rPr>
        <b/>
        <sz val="14"/>
        <color theme="1"/>
        <rFont val="Calibri"/>
        <family val="2"/>
        <scheme val="minor"/>
      </rPr>
      <t>►Tailored Marketing Strategies:</t>
    </r>
    <r>
      <rPr>
        <sz val="14"/>
        <color theme="1"/>
        <rFont val="Calibri"/>
        <family val="2"/>
        <scheme val="minor"/>
      </rPr>
      <t xml:space="preserve"> Promotions and advertisements should be scheduled to coincide with peak ordering times, particularly during weekends and daytime hours.
</t>
    </r>
    <r>
      <rPr>
        <b/>
        <sz val="14"/>
        <color theme="1"/>
        <rFont val="Calibri"/>
        <family val="2"/>
        <scheme val="minor"/>
      </rPr>
      <t>►Product Assortment Optimization:</t>
    </r>
    <r>
      <rPr>
        <sz val="14"/>
        <color theme="1"/>
        <rFont val="Calibri"/>
        <family val="2"/>
        <scheme val="minor"/>
      </rPr>
      <t xml:space="preserve">  Ensure that there is a wide selection of medium-range products available on the platform. Conversely, consider strategies to boost the visibility and appeal of low-range products to increase their uptake among loyal customers.</t>
    </r>
  </si>
  <si>
    <t>Lowest Count of Customers: No Dependants</t>
  </si>
  <si>
    <t>Ordering habits with Price Range based on a customer’s region</t>
  </si>
  <si>
    <t>South Region have the highest orders between 9AM to 4PM
Northeast Region have the least orders based on all regions
The pattern of hour of day ordering stays the same amongst all regions</t>
  </si>
  <si>
    <t>South Region have the highest orders with Mid-range product and least orders with High-range products
Northeast has the least orders amongst all Regions</t>
  </si>
  <si>
    <t>Married Family Status (Ages 22 to 81): wide age range
Living with Parents (Ages 18 to 21):
Single (Ages 18 to 59):
Divorced/Widowed (Ages 60 to 81):</t>
  </si>
  <si>
    <r>
      <t>►</t>
    </r>
    <r>
      <rPr>
        <b/>
        <sz val="14"/>
        <color theme="1"/>
        <rFont val="Calibri"/>
        <family val="2"/>
        <scheme val="minor"/>
      </rPr>
      <t xml:space="preserve">Differences in Ordering Patterns by Region: </t>
    </r>
    <r>
      <rPr>
        <sz val="14"/>
        <color theme="1"/>
        <rFont val="Calibri"/>
        <family val="2"/>
        <scheme val="minor"/>
      </rPr>
      <t>The South Region experiences the highest volume of orders, whereas the Northeast Region exhibits the lowest, particularly notable on Saturdays and Sundays, and least on Tuesdays and Wednesdays. Additionally, peak order times typically occur between 9:00 AM to 4:00 PM. Furthermore, mid-range products are predominantly favored in the South Region.
►</t>
    </r>
    <r>
      <rPr>
        <b/>
        <sz val="14"/>
        <color theme="1"/>
        <rFont val="Calibri"/>
        <family val="2"/>
        <scheme val="minor"/>
      </rPr>
      <t>Targeted Regional Marketing:</t>
    </r>
    <r>
      <rPr>
        <sz val="14"/>
        <color theme="1"/>
        <rFont val="Calibri"/>
        <family val="2"/>
        <scheme val="minor"/>
      </rPr>
      <t xml:space="preserve"> Invest in advertising campaigns and promotions to capitalize on the higher demand in South region.
</t>
    </r>
    <r>
      <rPr>
        <b/>
        <sz val="14"/>
        <color theme="1"/>
        <rFont val="Calibri"/>
        <family val="2"/>
        <scheme val="minor"/>
      </rPr>
      <t xml:space="preserve">►Delivery Logistics Optimization: </t>
    </r>
    <r>
      <rPr>
        <sz val="14"/>
        <color theme="1"/>
        <rFont val="Calibri"/>
        <family val="2"/>
        <scheme val="minor"/>
      </rPr>
      <t xml:space="preserve">Ensure that there are enough delivery personnel and vehicles available to handle the increased order volume during  9:00 AM to 4:00 PM to meet the peak demand hours in the South Region
</t>
    </r>
    <r>
      <rPr>
        <b/>
        <sz val="14"/>
        <color theme="1"/>
        <rFont val="Calibri"/>
        <family val="2"/>
        <scheme val="minor"/>
      </rPr>
      <t>►Price Range Optimization:</t>
    </r>
    <r>
      <rPr>
        <sz val="14"/>
        <color theme="1"/>
        <rFont val="Calibri"/>
        <family val="2"/>
        <scheme val="minor"/>
      </rPr>
      <t xml:space="preserve">  Since customers in the South Region show a preference for mid-range products, ensure competitive pricing and availability of such products to maximize sales. Consider offering promotions or discounts on high-range products in the Northeast Region to stimulate demand
</t>
    </r>
  </si>
  <si>
    <r>
      <t>►</t>
    </r>
    <r>
      <rPr>
        <b/>
        <sz val="14"/>
        <color theme="1"/>
        <rFont val="Calibri"/>
        <family val="2"/>
        <scheme val="minor"/>
      </rPr>
      <t>Married Family Status (Ages 22 to 81):</t>
    </r>
    <r>
      <rPr>
        <sz val="14"/>
        <color theme="1"/>
        <rFont val="Calibri"/>
        <family val="2"/>
        <scheme val="minor"/>
      </rPr>
      <t xml:space="preserve"> This group comprises the largest number of customers. There ordering habits may be influenced by responsibilities such as managing household groceries for a family.
►</t>
    </r>
    <r>
      <rPr>
        <b/>
        <sz val="14"/>
        <color theme="1"/>
        <rFont val="Calibri"/>
        <family val="2"/>
        <scheme val="minor"/>
      </rPr>
      <t>Living with Parents (Ages 18 to 21):</t>
    </r>
    <r>
      <rPr>
        <sz val="14"/>
        <color theme="1"/>
        <rFont val="Calibri"/>
        <family val="2"/>
        <scheme val="minor"/>
      </rPr>
      <t xml:space="preserve"> Ordering habits may possibly influenced by their familial environment and household dynamics.
</t>
    </r>
    <r>
      <rPr>
        <b/>
        <sz val="14"/>
        <color theme="1"/>
        <rFont val="Calibri"/>
        <family val="2"/>
        <scheme val="minor"/>
      </rPr>
      <t>►Single (Ages 18 to 59):</t>
    </r>
    <r>
      <rPr>
        <sz val="14"/>
        <color theme="1"/>
        <rFont val="Calibri"/>
        <family val="2"/>
        <scheme val="minor"/>
      </rPr>
      <t xml:space="preserve"> Ordering habits may be influenced by lifestyle preferences, career demands, and living arrangements.
</t>
    </r>
    <r>
      <rPr>
        <b/>
        <sz val="14"/>
        <color theme="1"/>
        <rFont val="Calibri"/>
        <family val="2"/>
        <scheme val="minor"/>
      </rPr>
      <t xml:space="preserve">►Divorced/Widowed (Ages 60 to 81): </t>
    </r>
    <r>
      <rPr>
        <sz val="14"/>
        <color theme="1"/>
        <rFont val="Calibri"/>
        <family val="2"/>
        <scheme val="minor"/>
      </rPr>
      <t xml:space="preserve">This category includes older individuals who are divorced or widowed, typically aged 60 and above. Ordering habits for this group could be influenced by factors such as living alone, health considerations, and changes in household dynamics.
</t>
    </r>
    <r>
      <rPr>
        <b/>
        <sz val="14"/>
        <color theme="1"/>
        <rFont val="Calibri"/>
        <family val="2"/>
        <scheme val="minor"/>
      </rPr>
      <t xml:space="preserve">►Personalized Recommendations: </t>
    </r>
    <r>
      <rPr>
        <sz val="14"/>
        <color theme="1"/>
        <rFont val="Calibri"/>
        <family val="2"/>
        <scheme val="minor"/>
      </rPr>
      <t>Use customer data to personalize product recommendations such as recommending larger quantities or family-sized packages to married customers, and smaller portions or individual servings to single customers.</t>
    </r>
  </si>
  <si>
    <r>
      <rPr>
        <b/>
        <sz val="14"/>
        <color theme="1"/>
        <rFont val="Calibri"/>
        <family val="2"/>
        <scheme val="minor"/>
      </rPr>
      <t>►Age:</t>
    </r>
    <r>
      <rPr>
        <sz val="14"/>
        <color theme="1"/>
        <rFont val="Calibri"/>
        <family val="2"/>
        <scheme val="minor"/>
      </rPr>
      <t xml:space="preserve"> highest count of customers falls within the Senior Adult category, while the lowest count of customers is in the Young Adult category.
</t>
    </r>
    <r>
      <rPr>
        <b/>
        <sz val="14"/>
        <color theme="1"/>
        <rFont val="Calibri"/>
        <family val="2"/>
        <scheme val="minor"/>
      </rPr>
      <t>►Income:</t>
    </r>
    <r>
      <rPr>
        <sz val="14"/>
        <color theme="1"/>
        <rFont val="Calibri"/>
        <family val="2"/>
        <scheme val="minor"/>
      </rPr>
      <t xml:space="preserve"> highest count of customers is in the High Income category, whereas the lowest count of customers is in the Low Income category.
</t>
    </r>
    <r>
      <rPr>
        <b/>
        <sz val="14"/>
        <color theme="1"/>
        <rFont val="Calibri"/>
        <family val="2"/>
        <scheme val="minor"/>
      </rPr>
      <t>►Dependents:</t>
    </r>
    <r>
      <rPr>
        <sz val="14"/>
        <color theme="1"/>
        <rFont val="Calibri"/>
        <family val="2"/>
        <scheme val="minor"/>
      </rPr>
      <t xml:space="preserve"> highest count of customers has dependents, while the lowest count of customers does not have dependents.
</t>
    </r>
    <r>
      <rPr>
        <b/>
        <sz val="14"/>
        <color theme="1"/>
        <rFont val="Calibri"/>
        <family val="2"/>
        <scheme val="minor"/>
      </rPr>
      <t>►Customized Pricing Strategies:</t>
    </r>
    <r>
      <rPr>
        <sz val="14"/>
        <color theme="1"/>
        <rFont val="Calibri"/>
        <family val="2"/>
        <scheme val="minor"/>
      </rPr>
      <t xml:space="preserve"> Offer discounts, promotions, or loyalty programs that appeal to both high-income and low-income customers, ensuring accessibility and affordability for all.
</t>
    </r>
    <r>
      <rPr>
        <b/>
        <sz val="14"/>
        <color theme="1"/>
        <rFont val="Calibri"/>
        <family val="2"/>
        <scheme val="minor"/>
      </rPr>
      <t>►Targeted Marketing and Product Offerings:</t>
    </r>
    <r>
      <rPr>
        <sz val="14"/>
        <color theme="1"/>
        <rFont val="Calibri"/>
        <family val="2"/>
        <scheme val="minor"/>
      </rPr>
      <t xml:space="preserve"> Focus on promoting products and services that are relevant to the Senior Adult category, such as health and wellness products, convenience items, and specialized services tailored to their lifestyle.</t>
    </r>
  </si>
  <si>
    <r>
      <rPr>
        <b/>
        <sz val="14"/>
        <color theme="1"/>
        <rFont val="Calibri"/>
        <family val="2"/>
        <scheme val="minor"/>
      </rPr>
      <t>►Price Sensitivity:</t>
    </r>
    <r>
      <rPr>
        <sz val="14"/>
        <color theme="1"/>
        <rFont val="Calibri"/>
        <family val="2"/>
        <scheme val="minor"/>
      </rPr>
      <t xml:space="preserve"> high and low-income customers tend to order medium-range products the most, indicating a similar level of price sensitivity across income groups. This suggests that customers are more concerned with value for money rather than just the price point.
</t>
    </r>
    <r>
      <rPr>
        <b/>
        <sz val="14"/>
        <color theme="1"/>
        <rFont val="Calibri"/>
        <family val="2"/>
        <scheme val="minor"/>
      </rPr>
      <t>►Product Preference:</t>
    </r>
    <r>
      <rPr>
        <sz val="14"/>
        <color theme="1"/>
        <rFont val="Calibri"/>
        <family val="2"/>
        <scheme val="minor"/>
      </rPr>
      <t xml:space="preserve"> medium-range products are popular across the board, it might be beneficial to focus on expanding this product category or offering related products.
</t>
    </r>
    <r>
      <rPr>
        <b/>
        <sz val="14"/>
        <color theme="1"/>
        <rFont val="Calibri"/>
        <family val="2"/>
        <scheme val="minor"/>
      </rPr>
      <t xml:space="preserve">►Regional Differences: </t>
    </r>
    <r>
      <rPr>
        <sz val="14"/>
        <color theme="1"/>
        <rFont val="Calibri"/>
        <family val="2"/>
        <scheme val="minor"/>
      </rPr>
      <t xml:space="preserve"> South region has the highest number of customers for both high and low-income categories, whereas the Northeast region has the lowest. This suggests promotions or discounts tailored to the preferences of customers in the South region may yield higher returns.
</t>
    </r>
    <r>
      <rPr>
        <b/>
        <sz val="14"/>
        <color theme="1"/>
        <rFont val="Calibri"/>
        <family val="2"/>
        <scheme val="minor"/>
      </rPr>
      <t xml:space="preserve">►Product Pricing Strategy: </t>
    </r>
    <r>
      <rPr>
        <sz val="14"/>
        <color theme="1"/>
        <rFont val="Calibri"/>
        <family val="2"/>
        <scheme val="minor"/>
      </rPr>
      <t xml:space="preserve">offering discounts or promotions on high-range products could incentivize customers to purchase them more frequently, thereby increasing overall revenue.
</t>
    </r>
    <r>
      <rPr>
        <b/>
        <sz val="14"/>
        <color theme="1"/>
        <rFont val="Calibri"/>
        <family val="2"/>
        <scheme val="minor"/>
      </rPr>
      <t>►Customer Segmentation:</t>
    </r>
    <r>
      <rPr>
        <sz val="14"/>
        <color theme="1"/>
        <rFont val="Calibri"/>
        <family val="2"/>
        <scheme val="minor"/>
      </rPr>
      <t xml:space="preserve"> Further targeting specific customer segments with tailored messages and offers, businesses can improve customer engagement and loyalty.</t>
    </r>
  </si>
  <si>
    <r>
      <rPr>
        <sz val="14"/>
        <color theme="1"/>
        <rFont val="Century Gothic"/>
        <family val="2"/>
      </rPr>
      <t>►</t>
    </r>
    <r>
      <rPr>
        <sz val="14"/>
        <color theme="1"/>
        <rFont val="Calibri"/>
        <family val="2"/>
        <scheme val="minor"/>
      </rPr>
      <t>Generally, people spend the same amount of money throuout the day, except between 3 AM to 5 AM whan a dip in money spent in noticed 
►Additionally, there is a spike in prices between 5 to 6 AM in the NE Region.</t>
    </r>
    <r>
      <rPr>
        <b/>
        <sz val="14"/>
        <color theme="1"/>
        <rFont val="Calibri"/>
        <family val="2"/>
        <scheme val="minor"/>
      </rPr>
      <t xml:space="preserve">
►Advertise High-priced Products During Peak Spending Hours: </t>
    </r>
    <r>
      <rPr>
        <sz val="14"/>
        <color theme="1"/>
        <rFont val="Calibri"/>
        <family val="2"/>
        <scheme val="minor"/>
      </rPr>
      <t xml:space="preserve">During the peak spending hours of the day  Instacart should advertise high-priced products to capitalize on customers' willingness to spend.
</t>
    </r>
    <r>
      <rPr>
        <b/>
        <sz val="14"/>
        <color theme="1"/>
        <rFont val="Calibri"/>
        <family val="2"/>
        <scheme val="minor"/>
      </rPr>
      <t xml:space="preserve">►Pricing Strategies: </t>
    </r>
    <r>
      <rPr>
        <sz val="14"/>
        <color theme="1"/>
        <rFont val="Calibri"/>
        <family val="2"/>
        <scheme val="minor"/>
      </rPr>
      <t xml:space="preserve">during peak spending hours, prices for high-demand products could be slightly increased to gain additional revenue
</t>
    </r>
  </si>
  <si>
    <r>
      <t xml:space="preserve">To optimize ad scheduling, the sales team should consider placing ads during:
►least busy days (Tuesday and Wednesday) and during 
►least busy hours (between 5:00 AM - 9:00 AM and after 4:00 PM until midnight) to maximize visibility and potential customer engagement.
</t>
    </r>
    <r>
      <rPr>
        <b/>
        <sz val="14"/>
        <color theme="1"/>
        <rFont val="Calibri"/>
        <family val="2"/>
        <scheme val="minor"/>
      </rPr>
      <t>►Product Highlighting:</t>
    </r>
    <r>
      <rPr>
        <sz val="14"/>
        <color theme="1"/>
        <rFont val="Calibri"/>
        <family val="2"/>
        <scheme val="minor"/>
      </rPr>
      <t xml:space="preserve"> Showcase advertisements during the least busy days and hours which can help drive sales for products that may otherwise be overlooked during busier periods.
►</t>
    </r>
    <r>
      <rPr>
        <b/>
        <sz val="14"/>
        <color theme="1"/>
        <rFont val="Calibri"/>
        <family val="2"/>
        <scheme val="minor"/>
      </rPr>
      <t>Targeted Promotions and Offers:</t>
    </r>
    <r>
      <rPr>
        <sz val="14"/>
        <color theme="1"/>
        <rFont val="Calibri"/>
        <family val="2"/>
        <scheme val="minor"/>
      </rPr>
      <t xml:space="preserve"> Offer exclusive discounts or bundle deals during off-peak times to attract customers who may be less inclined to shop during busier periods.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</si>
</sst>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Calibri"/>
      <family val="2"/>
      <scheme val="minor"/>
    </font>
    <font>
      <sz val="11"/>
      <color theme="1"/>
      <name val="Adobe Fan Heiti Std B"/>
      <family val="2"/>
      <charset val="128"/>
    </font>
    <font>
      <sz val="10"/>
      <color theme="2" tint="-0.499984740745262"/>
      <name val="Adobe Fan Heiti Std B"/>
      <family val="2"/>
      <charset val="128"/>
    </font>
    <font>
      <b/>
      <u/>
      <sz val="12"/>
      <color theme="2" tint="-0.499984740745262"/>
      <name val="Adobe Fan Heiti Std B"/>
      <family val="2"/>
      <charset val="128"/>
    </font>
    <font>
      <u/>
      <sz val="14"/>
      <color theme="2" tint="-0.499984740745262"/>
      <name val="Adobe Fan Heiti Std B"/>
      <family val="2"/>
      <charset val="128"/>
    </font>
    <font>
      <u/>
      <sz val="11"/>
      <color theme="2" tint="-0.499984740745262"/>
      <name val="Adobe Fan Heiti Std B"/>
      <family val="2"/>
      <charset val="128"/>
    </font>
    <font>
      <i/>
      <sz val="11"/>
      <color theme="1"/>
      <name val="Calibri"/>
      <family val="2"/>
      <charset val="204"/>
      <scheme val="minor"/>
    </font>
    <font>
      <u/>
      <sz val="11"/>
      <color theme="10"/>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b/>
      <sz val="14"/>
      <color theme="4" tint="-0.249977111117893"/>
      <name val="Calibri"/>
      <family val="2"/>
      <scheme val="minor"/>
    </font>
    <font>
      <b/>
      <sz val="14"/>
      <color rgb="FFFF0000"/>
      <name val="Calibri"/>
      <family val="2"/>
      <scheme val="minor"/>
    </font>
    <font>
      <b/>
      <sz val="18"/>
      <color theme="1"/>
      <name val="Calibri"/>
      <family val="2"/>
      <scheme val="minor"/>
    </font>
    <font>
      <sz val="14"/>
      <color theme="1"/>
      <name val="Century Gothic"/>
      <family val="2"/>
    </font>
  </fonts>
  <fills count="15">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2"/>
        <bgColor indexed="64"/>
      </patternFill>
    </fill>
    <fill>
      <patternFill patternType="solid">
        <fgColor theme="0"/>
        <bgColor indexed="64"/>
      </patternFill>
    </fill>
    <fill>
      <patternFill patternType="solid">
        <fgColor theme="4" tint="0.39997558519241921"/>
        <bgColor indexed="64"/>
      </patternFill>
    </fill>
    <fill>
      <patternFill patternType="solid">
        <fgColor theme="7" tint="0.79998168889431442"/>
        <bgColor indexed="64"/>
      </patternFill>
    </fill>
  </fills>
  <borders count="35">
    <border>
      <left/>
      <right/>
      <top/>
      <bottom/>
      <diagonal/>
    </border>
    <border>
      <left style="double">
        <color auto="1"/>
      </left>
      <right style="dotted">
        <color theme="2" tint="-0.24994659260841701"/>
      </right>
      <top style="dotted">
        <color theme="2" tint="-0.24994659260841701"/>
      </top>
      <bottom style="dotted">
        <color theme="2" tint="-0.24994659260841701"/>
      </bottom>
      <diagonal/>
    </border>
    <border>
      <left style="dotted">
        <color theme="2" tint="-0.24994659260841701"/>
      </left>
      <right style="double">
        <color auto="1"/>
      </right>
      <top style="dotted">
        <color theme="2" tint="-0.24994659260841701"/>
      </top>
      <bottom style="dotted">
        <color theme="2" tint="-0.24994659260841701"/>
      </bottom>
      <diagonal/>
    </border>
    <border>
      <left style="double">
        <color auto="1"/>
      </left>
      <right style="dotted">
        <color theme="2" tint="-0.24994659260841701"/>
      </right>
      <top style="dotted">
        <color theme="2" tint="-0.24994659260841701"/>
      </top>
      <bottom style="double">
        <color auto="1"/>
      </bottom>
      <diagonal/>
    </border>
    <border>
      <left style="dotted">
        <color theme="2" tint="-0.24994659260841701"/>
      </left>
      <right style="double">
        <color auto="1"/>
      </right>
      <top style="dotted">
        <color theme="2" tint="-0.24994659260841701"/>
      </top>
      <bottom style="double">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double">
        <color auto="1"/>
      </left>
      <right style="hair">
        <color theme="2" tint="-0.24994659260841701"/>
      </right>
      <top style="double">
        <color auto="1"/>
      </top>
      <bottom style="hair">
        <color theme="2" tint="-0.24994659260841701"/>
      </bottom>
      <diagonal/>
    </border>
    <border>
      <left style="hair">
        <color theme="2" tint="-0.24994659260841701"/>
      </left>
      <right style="hair">
        <color theme="2" tint="-0.24994659260841701"/>
      </right>
      <top style="double">
        <color auto="1"/>
      </top>
      <bottom style="hair">
        <color theme="2" tint="-0.24994659260841701"/>
      </bottom>
      <diagonal/>
    </border>
    <border>
      <left style="hair">
        <color theme="2" tint="-0.24994659260841701"/>
      </left>
      <right style="double">
        <color auto="1"/>
      </right>
      <top style="double">
        <color auto="1"/>
      </top>
      <bottom style="hair">
        <color theme="2" tint="-0.24994659260841701"/>
      </bottom>
      <diagonal/>
    </border>
    <border>
      <left style="double">
        <color auto="1"/>
      </left>
      <right style="hair">
        <color theme="2" tint="-0.24994659260841701"/>
      </right>
      <top style="hair">
        <color theme="2" tint="-0.24994659260841701"/>
      </top>
      <bottom style="hair">
        <color theme="2" tint="-0.24994659260841701"/>
      </bottom>
      <diagonal/>
    </border>
    <border>
      <left style="hair">
        <color theme="2" tint="-0.24994659260841701"/>
      </left>
      <right style="hair">
        <color theme="2" tint="-0.24994659260841701"/>
      </right>
      <top style="hair">
        <color theme="2" tint="-0.24994659260841701"/>
      </top>
      <bottom style="hair">
        <color theme="2" tint="-0.24994659260841701"/>
      </bottom>
      <diagonal/>
    </border>
    <border>
      <left style="hair">
        <color theme="2" tint="-0.24994659260841701"/>
      </left>
      <right style="double">
        <color auto="1"/>
      </right>
      <top style="hair">
        <color theme="2" tint="-0.24994659260841701"/>
      </top>
      <bottom style="hair">
        <color theme="2" tint="-0.24994659260841701"/>
      </bottom>
      <diagonal/>
    </border>
    <border>
      <left style="double">
        <color auto="1"/>
      </left>
      <right style="hair">
        <color theme="2" tint="-0.24994659260841701"/>
      </right>
      <top style="hair">
        <color theme="2" tint="-0.24994659260841701"/>
      </top>
      <bottom style="double">
        <color auto="1"/>
      </bottom>
      <diagonal/>
    </border>
    <border>
      <left style="hair">
        <color theme="2" tint="-0.24994659260841701"/>
      </left>
      <right style="hair">
        <color theme="2" tint="-0.24994659260841701"/>
      </right>
      <top style="hair">
        <color theme="2" tint="-0.24994659260841701"/>
      </top>
      <bottom style="double">
        <color auto="1"/>
      </bottom>
      <diagonal/>
    </border>
    <border>
      <left style="hair">
        <color theme="2" tint="-0.24994659260841701"/>
      </left>
      <right style="double">
        <color auto="1"/>
      </right>
      <top style="hair">
        <color theme="2" tint="-0.24994659260841701"/>
      </top>
      <bottom style="double">
        <color auto="1"/>
      </bottom>
      <diagonal/>
    </border>
    <border>
      <left/>
      <right/>
      <top style="dotted">
        <color theme="2" tint="-0.24994659260841701"/>
      </top>
      <bottom style="dotted">
        <color theme="2" tint="-0.24994659260841701"/>
      </bottom>
      <diagonal/>
    </border>
    <border>
      <left/>
      <right/>
      <top style="dotted">
        <color theme="2" tint="-0.24994659260841701"/>
      </top>
      <bottom style="double">
        <color auto="1"/>
      </bottom>
      <diagonal/>
    </border>
    <border>
      <left style="dotted">
        <color theme="2" tint="-0.24994659260841701"/>
      </left>
      <right style="dotted">
        <color theme="2" tint="-0.24994659260841701"/>
      </right>
      <top style="double">
        <color auto="1"/>
      </top>
      <bottom style="dotted">
        <color theme="2" tint="-0.24994659260841701"/>
      </bottom>
      <diagonal/>
    </border>
    <border>
      <left/>
      <right style="double">
        <color auto="1"/>
      </right>
      <top/>
      <bottom style="dotted">
        <color theme="2" tint="-0.24994659260841701"/>
      </bottom>
      <diagonal/>
    </border>
    <border>
      <left style="double">
        <color auto="1"/>
      </left>
      <right style="dotted">
        <color theme="2" tint="-0.24994659260841701"/>
      </right>
      <top style="double">
        <color auto="1"/>
      </top>
      <bottom style="dotted">
        <color theme="2" tint="-0.24994659260841701"/>
      </bottom>
      <diagonal/>
    </border>
    <border>
      <left style="dotted">
        <color theme="2" tint="-0.24994659260841701"/>
      </left>
      <right style="dotted">
        <color theme="2" tint="-0.24994659260841701"/>
      </right>
      <top style="dotted">
        <color theme="2" tint="-0.24994659260841701"/>
      </top>
      <bottom style="dotted">
        <color theme="2" tint="-0.24994659260841701"/>
      </bottom>
      <diagonal/>
    </border>
    <border>
      <left style="dotted">
        <color theme="2" tint="-0.24994659260841701"/>
      </left>
      <right style="dotted">
        <color theme="2" tint="-0.24994659260841701"/>
      </right>
      <top style="dotted">
        <color theme="2" tint="-0.24994659260841701"/>
      </top>
      <bottom style="double">
        <color auto="1"/>
      </bottom>
      <diagonal/>
    </border>
    <border>
      <left style="double">
        <color auto="1"/>
      </left>
      <right/>
      <top style="dotted">
        <color theme="2" tint="-0.24994659260841701"/>
      </top>
      <bottom style="dotted">
        <color theme="2" tint="-0.24994659260841701"/>
      </bottom>
      <diagonal/>
    </border>
    <border>
      <left/>
      <right style="double">
        <color auto="1"/>
      </right>
      <top style="dotted">
        <color theme="2" tint="-0.24994659260841701"/>
      </top>
      <bottom style="dotted">
        <color theme="2" tint="-0.24994659260841701"/>
      </bottom>
      <diagonal/>
    </border>
    <border>
      <left style="double">
        <color auto="1"/>
      </left>
      <right style="double">
        <color auto="1"/>
      </right>
      <top style="double">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right/>
      <top/>
      <bottom style="thin">
        <color auto="1"/>
      </bottom>
      <diagonal/>
    </border>
  </borders>
  <cellStyleXfs count="2">
    <xf numFmtId="0" fontId="0" fillId="0" borderId="0"/>
    <xf numFmtId="0" fontId="7" fillId="0" borderId="0" applyNumberFormat="0" applyFill="0" applyBorder="0" applyAlignment="0" applyProtection="0"/>
  </cellStyleXfs>
  <cellXfs count="139">
    <xf numFmtId="0" fontId="0" fillId="0" borderId="0" xfId="0"/>
    <xf numFmtId="0" fontId="1"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0" borderId="8"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2" fillId="0" borderId="0" xfId="0" applyFont="1"/>
    <xf numFmtId="0" fontId="3" fillId="0" borderId="0" xfId="0" applyFont="1"/>
    <xf numFmtId="0" fontId="4" fillId="0" borderId="0" xfId="0" applyFont="1"/>
    <xf numFmtId="0" fontId="5" fillId="0" borderId="0" xfId="0" applyFont="1"/>
    <xf numFmtId="0" fontId="0" fillId="0" borderId="17" xfId="0" applyBorder="1"/>
    <xf numFmtId="0" fontId="0" fillId="0" borderId="18" xfId="0" applyBorder="1"/>
    <xf numFmtId="0" fontId="0" fillId="0" borderId="22" xfId="0" applyBorder="1"/>
    <xf numFmtId="0" fontId="0" fillId="0" borderId="23" xfId="0" applyBorder="1"/>
    <xf numFmtId="0" fontId="0" fillId="0" borderId="9" xfId="0" applyBorder="1" applyAlignment="1">
      <alignment wrapText="1"/>
    </xf>
    <xf numFmtId="0" fontId="0" fillId="0" borderId="9" xfId="0" applyBorder="1" applyAlignment="1">
      <alignment horizontal="center" vertical="center"/>
    </xf>
    <xf numFmtId="0" fontId="0" fillId="0" borderId="12" xfId="0" applyBorder="1" applyAlignment="1">
      <alignment horizontal="left" wrapText="1"/>
    </xf>
    <xf numFmtId="0" fontId="0" fillId="0" borderId="13" xfId="0" applyBorder="1" applyAlignment="1">
      <alignment wrapText="1"/>
    </xf>
    <xf numFmtId="0" fontId="0" fillId="0" borderId="10" xfId="0" applyBorder="1" applyAlignment="1">
      <alignment vertical="center" wrapText="1"/>
    </xf>
    <xf numFmtId="0" fontId="0" fillId="0" borderId="1" xfId="0" quotePrefix="1" applyBorder="1" applyAlignment="1">
      <alignment wrapText="1"/>
    </xf>
    <xf numFmtId="0" fontId="0" fillId="0" borderId="19" xfId="0" quotePrefix="1" applyBorder="1" applyAlignment="1">
      <alignment vertical="center" wrapText="1"/>
    </xf>
    <xf numFmtId="0" fontId="0" fillId="0" borderId="21" xfId="0" applyBorder="1" applyAlignment="1">
      <alignment vertical="center" wrapText="1"/>
    </xf>
    <xf numFmtId="0" fontId="0" fillId="0" borderId="19" xfId="0" applyBorder="1" applyAlignment="1">
      <alignment wrapText="1"/>
    </xf>
    <xf numFmtId="0" fontId="0" fillId="0" borderId="20" xfId="0" applyBorder="1" applyAlignment="1">
      <alignment vertical="top" wrapText="1"/>
    </xf>
    <xf numFmtId="0" fontId="0" fillId="0" borderId="22" xfId="0" applyBorder="1" applyAlignment="1">
      <alignment wrapText="1"/>
    </xf>
    <xf numFmtId="0" fontId="0" fillId="0" borderId="22" xfId="0" applyBorder="1" applyAlignment="1">
      <alignment vertical="top" wrapText="1"/>
    </xf>
    <xf numFmtId="0" fontId="0" fillId="0" borderId="2" xfId="0" applyBorder="1" applyAlignment="1">
      <alignment vertical="top"/>
    </xf>
    <xf numFmtId="0" fontId="0" fillId="0" borderId="17" xfId="0" applyBorder="1" applyAlignment="1">
      <alignment wrapText="1"/>
    </xf>
    <xf numFmtId="0" fontId="0" fillId="0" borderId="17" xfId="0" applyBorder="1" applyAlignment="1">
      <alignment vertical="top" wrapText="1"/>
    </xf>
    <xf numFmtId="0" fontId="0" fillId="0" borderId="2" xfId="0" applyBorder="1" applyAlignment="1">
      <alignment wrapText="1"/>
    </xf>
    <xf numFmtId="0" fontId="0" fillId="0" borderId="2" xfId="0" applyBorder="1" applyAlignment="1">
      <alignment vertical="top" wrapText="1"/>
    </xf>
    <xf numFmtId="0" fontId="0" fillId="0" borderId="0" xfId="0" applyAlignment="1">
      <alignment horizontal="center"/>
    </xf>
    <xf numFmtId="0" fontId="9" fillId="3" borderId="0" xfId="0" applyFont="1" applyFill="1" applyAlignment="1">
      <alignment horizontal="center"/>
    </xf>
    <xf numFmtId="0" fontId="7" fillId="0" borderId="0" xfId="1" applyAlignment="1">
      <alignment horizontal="center"/>
    </xf>
    <xf numFmtId="0" fontId="0" fillId="0" borderId="1" xfId="0" applyBorder="1" applyAlignment="1">
      <alignment vertical="top" wrapText="1"/>
    </xf>
    <xf numFmtId="0" fontId="0" fillId="0" borderId="24" xfId="0" applyBorder="1"/>
    <xf numFmtId="0" fontId="0" fillId="0" borderId="25" xfId="0" applyBorder="1"/>
    <xf numFmtId="0" fontId="0" fillId="0" borderId="26" xfId="0" applyBorder="1" applyAlignment="1">
      <alignment vertical="top"/>
    </xf>
    <xf numFmtId="0" fontId="0" fillId="0" borderId="26" xfId="0" applyBorder="1" applyAlignment="1">
      <alignment vertical="top" wrapText="1"/>
    </xf>
    <xf numFmtId="0" fontId="0" fillId="0" borderId="26" xfId="0" applyBorder="1"/>
    <xf numFmtId="0" fontId="0" fillId="0" borderId="26" xfId="0" applyFill="1" applyBorder="1"/>
    <xf numFmtId="0" fontId="0" fillId="0" borderId="26" xfId="0" applyBorder="1" applyAlignment="1">
      <alignment wrapText="1"/>
    </xf>
    <xf numFmtId="0" fontId="0" fillId="0" borderId="26" xfId="0" quotePrefix="1" applyBorder="1" applyAlignment="1">
      <alignment wrapText="1"/>
    </xf>
    <xf numFmtId="0" fontId="0" fillId="0" borderId="26" xfId="0" applyBorder="1" applyAlignment="1">
      <alignment vertical="center" wrapText="1"/>
    </xf>
    <xf numFmtId="0" fontId="0" fillId="0" borderId="26" xfId="0" applyBorder="1" applyAlignment="1">
      <alignment vertical="center"/>
    </xf>
    <xf numFmtId="0" fontId="6" fillId="0" borderId="26" xfId="0" applyFont="1" applyBorder="1" applyAlignment="1">
      <alignment vertical="center"/>
    </xf>
    <xf numFmtId="0" fontId="6" fillId="0" borderId="26" xfId="0" applyFont="1" applyBorder="1" applyAlignment="1">
      <alignment horizontal="left" vertical="top" wrapText="1"/>
    </xf>
    <xf numFmtId="0" fontId="6" fillId="0" borderId="26" xfId="0" applyFont="1" applyBorder="1" applyAlignment="1">
      <alignment wrapText="1"/>
    </xf>
    <xf numFmtId="0" fontId="9" fillId="0" borderId="0" xfId="0" applyNumberFormat="1" applyFont="1" applyAlignment="1">
      <alignment horizontal="center"/>
    </xf>
    <xf numFmtId="0" fontId="7" fillId="0" borderId="0" xfId="1" applyNumberFormat="1" applyAlignment="1">
      <alignment horizontal="center"/>
    </xf>
    <xf numFmtId="0" fontId="9" fillId="0" borderId="0" xfId="0" applyFont="1"/>
    <xf numFmtId="0" fontId="10" fillId="0" borderId="0" xfId="0" applyFont="1" applyAlignment="1">
      <alignment horizontal="center"/>
    </xf>
    <xf numFmtId="0" fontId="9" fillId="0" borderId="0" xfId="0" applyFont="1" applyAlignment="1">
      <alignment vertical="top" wrapText="1"/>
    </xf>
    <xf numFmtId="0" fontId="9" fillId="0" borderId="0" xfId="0" applyFont="1" applyAlignment="1">
      <alignment wrapText="1"/>
    </xf>
    <xf numFmtId="0" fontId="10" fillId="7" borderId="27" xfId="0" applyFont="1" applyFill="1" applyBorder="1" applyAlignment="1">
      <alignment horizontal="center"/>
    </xf>
    <xf numFmtId="0" fontId="10" fillId="7" borderId="27" xfId="0" applyFont="1" applyFill="1" applyBorder="1" applyAlignment="1">
      <alignment horizontal="center" wrapText="1"/>
    </xf>
    <xf numFmtId="0" fontId="9" fillId="0" borderId="0" xfId="0" applyFont="1" applyAlignment="1">
      <alignment vertical="center"/>
    </xf>
    <xf numFmtId="0" fontId="10" fillId="4" borderId="27" xfId="0" applyFont="1" applyFill="1" applyBorder="1" applyAlignment="1">
      <alignment horizontal="center"/>
    </xf>
    <xf numFmtId="0" fontId="9" fillId="0" borderId="27" xfId="0" applyFont="1" applyBorder="1" applyAlignment="1">
      <alignment horizontal="center" vertical="center" wrapText="1"/>
    </xf>
    <xf numFmtId="0" fontId="10" fillId="9" borderId="27" xfId="0" applyFont="1" applyFill="1" applyBorder="1" applyAlignment="1">
      <alignment horizontal="center"/>
    </xf>
    <xf numFmtId="0" fontId="10" fillId="5" borderId="27" xfId="0" applyFont="1" applyFill="1" applyBorder="1" applyAlignment="1">
      <alignment horizontal="center"/>
    </xf>
    <xf numFmtId="0" fontId="10" fillId="13" borderId="27" xfId="0" applyFont="1" applyFill="1" applyBorder="1" applyAlignment="1">
      <alignment horizontal="center"/>
    </xf>
    <xf numFmtId="0" fontId="10" fillId="10" borderId="27" xfId="0" applyFont="1" applyFill="1" applyBorder="1" applyAlignment="1">
      <alignment horizontal="center"/>
    </xf>
    <xf numFmtId="0" fontId="10" fillId="8" borderId="27" xfId="0" applyFont="1" applyFill="1" applyBorder="1" applyAlignment="1">
      <alignment horizontal="center"/>
    </xf>
    <xf numFmtId="0" fontId="0" fillId="12" borderId="0" xfId="0" applyFill="1"/>
    <xf numFmtId="0" fontId="10" fillId="14" borderId="27" xfId="0" applyFont="1" applyFill="1" applyBorder="1" applyAlignment="1">
      <alignment horizontal="center"/>
    </xf>
    <xf numFmtId="0" fontId="10" fillId="11" borderId="27" xfId="0" applyFont="1" applyFill="1" applyBorder="1" applyAlignment="1">
      <alignment horizontal="center"/>
    </xf>
    <xf numFmtId="0" fontId="10" fillId="13" borderId="27" xfId="0" applyFont="1" applyFill="1" applyBorder="1" applyAlignment="1">
      <alignment horizontal="center" wrapText="1"/>
    </xf>
    <xf numFmtId="0" fontId="9" fillId="0" borderId="0" xfId="0" applyFont="1" applyAlignment="1">
      <alignment horizontal="center" vertical="center" wrapText="1"/>
    </xf>
    <xf numFmtId="0" fontId="9" fillId="0" borderId="0" xfId="0" applyFont="1" applyBorder="1" applyAlignment="1">
      <alignment horizontal="center" vertical="center" wrapText="1"/>
    </xf>
    <xf numFmtId="0" fontId="13" fillId="0" borderId="34" xfId="0" applyFont="1" applyBorder="1" applyAlignment="1">
      <alignment horizontal="center"/>
    </xf>
    <xf numFmtId="0" fontId="10" fillId="0" borderId="34" xfId="0" applyFont="1" applyBorder="1" applyAlignment="1">
      <alignment horizontal="center"/>
    </xf>
    <xf numFmtId="0" fontId="13" fillId="0" borderId="0" xfId="0" applyFont="1" applyAlignment="1">
      <alignment horizontal="center"/>
    </xf>
    <xf numFmtId="0" fontId="10" fillId="12" borderId="27" xfId="0" applyFont="1" applyFill="1" applyBorder="1" applyAlignment="1">
      <alignment horizontal="center" wrapText="1"/>
    </xf>
    <xf numFmtId="0" fontId="10" fillId="12" borderId="0" xfId="0" applyFont="1" applyFill="1" applyBorder="1" applyAlignment="1">
      <alignment horizontal="center"/>
    </xf>
    <xf numFmtId="0" fontId="9" fillId="0" borderId="0" xfId="0" applyFont="1" applyFill="1" applyBorder="1" applyAlignment="1">
      <alignment horizontal="center" vertical="center" wrapText="1"/>
    </xf>
    <xf numFmtId="0" fontId="10" fillId="11" borderId="28" xfId="0" applyFont="1" applyFill="1" applyBorder="1" applyAlignment="1">
      <alignment horizontal="center" vertical="center" wrapText="1"/>
    </xf>
    <xf numFmtId="0" fontId="10" fillId="11" borderId="29" xfId="0" applyFont="1" applyFill="1" applyBorder="1" applyAlignment="1">
      <alignment horizontal="center" vertical="center" wrapText="1"/>
    </xf>
    <xf numFmtId="0" fontId="10" fillId="13" borderId="28" xfId="0" applyFont="1" applyFill="1" applyBorder="1" applyAlignment="1">
      <alignment horizontal="center" vertical="center" wrapText="1"/>
    </xf>
    <xf numFmtId="0" fontId="10" fillId="13" borderId="29" xfId="0" applyFont="1" applyFill="1" applyBorder="1" applyAlignment="1">
      <alignment horizontal="center" vertical="center" wrapText="1"/>
    </xf>
    <xf numFmtId="0" fontId="10" fillId="9" borderId="28" xfId="0" applyFont="1" applyFill="1" applyBorder="1" applyAlignment="1">
      <alignment horizontal="center" vertical="center" wrapText="1"/>
    </xf>
    <xf numFmtId="0" fontId="10" fillId="9" borderId="29" xfId="0" applyFont="1" applyFill="1" applyBorder="1" applyAlignment="1">
      <alignment horizontal="center" vertical="center" wrapText="1"/>
    </xf>
    <xf numFmtId="0" fontId="10" fillId="8" borderId="28" xfId="0" applyFont="1" applyFill="1" applyBorder="1" applyAlignment="1">
      <alignment horizontal="center" vertical="center" wrapText="1"/>
    </xf>
    <xf numFmtId="0" fontId="10" fillId="8" borderId="29" xfId="0" applyFont="1" applyFill="1" applyBorder="1" applyAlignment="1">
      <alignment horizontal="center" vertical="center" wrapText="1"/>
    </xf>
    <xf numFmtId="0" fontId="10" fillId="5" borderId="28" xfId="0" applyFont="1" applyFill="1" applyBorder="1" applyAlignment="1">
      <alignment horizontal="center" vertical="center" wrapText="1"/>
    </xf>
    <xf numFmtId="0" fontId="10" fillId="5" borderId="29" xfId="0" applyFont="1" applyFill="1" applyBorder="1" applyAlignment="1">
      <alignment horizontal="center" vertical="center" wrapText="1"/>
    </xf>
    <xf numFmtId="0" fontId="10" fillId="7" borderId="28" xfId="0" applyFont="1" applyFill="1" applyBorder="1" applyAlignment="1">
      <alignment horizontal="center" vertical="center" wrapText="1"/>
    </xf>
    <xf numFmtId="0" fontId="10" fillId="7" borderId="29" xfId="0" applyFont="1" applyFill="1" applyBorder="1" applyAlignment="1">
      <alignment horizontal="center" vertical="center" wrapText="1"/>
    </xf>
    <xf numFmtId="0" fontId="10" fillId="4" borderId="28" xfId="0" applyFont="1" applyFill="1" applyBorder="1" applyAlignment="1">
      <alignment horizontal="center" vertical="center" wrapText="1"/>
    </xf>
    <xf numFmtId="0" fontId="10" fillId="4" borderId="29"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0" borderId="28" xfId="0" applyFont="1" applyFill="1" applyBorder="1" applyAlignment="1">
      <alignment horizontal="center" vertical="top" wrapText="1"/>
    </xf>
    <xf numFmtId="0" fontId="10" fillId="10" borderId="29" xfId="0" applyFont="1" applyFill="1" applyBorder="1" applyAlignment="1">
      <alignment horizontal="center" vertical="top" wrapText="1"/>
    </xf>
    <xf numFmtId="0" fontId="10" fillId="14" borderId="28" xfId="0" applyFont="1" applyFill="1" applyBorder="1" applyAlignment="1">
      <alignment horizontal="center" vertical="center" wrapText="1"/>
    </xf>
    <xf numFmtId="0" fontId="10" fillId="14" borderId="29" xfId="0" applyFont="1" applyFill="1" applyBorder="1" applyAlignment="1">
      <alignment horizontal="center" vertical="center" wrapText="1"/>
    </xf>
    <xf numFmtId="0" fontId="9" fillId="3" borderId="24" xfId="0" applyFont="1" applyFill="1" applyBorder="1" applyAlignment="1">
      <alignment horizontal="center"/>
    </xf>
    <xf numFmtId="0" fontId="9" fillId="3" borderId="17" xfId="0" applyFont="1" applyFill="1" applyBorder="1" applyAlignment="1">
      <alignment horizontal="center"/>
    </xf>
    <xf numFmtId="0" fontId="9" fillId="3" borderId="25" xfId="0" applyFont="1" applyFill="1" applyBorder="1" applyAlignment="1">
      <alignment horizontal="center"/>
    </xf>
    <xf numFmtId="0" fontId="10" fillId="11" borderId="30" xfId="0" applyFont="1" applyFill="1" applyBorder="1" applyAlignment="1">
      <alignment horizontal="center"/>
    </xf>
    <xf numFmtId="0" fontId="10" fillId="11" borderId="31" xfId="0" applyFont="1" applyFill="1" applyBorder="1" applyAlignment="1">
      <alignment horizontal="center"/>
    </xf>
    <xf numFmtId="0" fontId="10" fillId="6" borderId="30" xfId="0" applyFont="1" applyFill="1" applyBorder="1" applyAlignment="1">
      <alignment horizontal="center"/>
    </xf>
    <xf numFmtId="0" fontId="10" fillId="6" borderId="31" xfId="0" applyFont="1" applyFill="1" applyBorder="1" applyAlignment="1">
      <alignment horizontal="center"/>
    </xf>
    <xf numFmtId="0" fontId="10" fillId="7" borderId="30" xfId="0" applyFont="1" applyFill="1" applyBorder="1" applyAlignment="1">
      <alignment horizontal="center"/>
    </xf>
    <xf numFmtId="0" fontId="10" fillId="7" borderId="31" xfId="0" applyFont="1" applyFill="1" applyBorder="1" applyAlignment="1">
      <alignment horizontal="center"/>
    </xf>
    <xf numFmtId="0" fontId="10" fillId="4" borderId="30" xfId="0" applyFont="1" applyFill="1" applyBorder="1" applyAlignment="1">
      <alignment horizontal="center"/>
    </xf>
    <xf numFmtId="0" fontId="10" fillId="4" borderId="31" xfId="0" applyFont="1" applyFill="1" applyBorder="1" applyAlignment="1">
      <alignment horizontal="center"/>
    </xf>
    <xf numFmtId="0" fontId="10" fillId="9" borderId="30" xfId="0" applyFont="1" applyFill="1" applyBorder="1" applyAlignment="1">
      <alignment horizontal="center"/>
    </xf>
    <xf numFmtId="0" fontId="10" fillId="9" borderId="31" xfId="0" applyFont="1" applyFill="1" applyBorder="1" applyAlignment="1">
      <alignment horizontal="center"/>
    </xf>
    <xf numFmtId="0" fontId="10" fillId="8" borderId="30" xfId="0" applyFont="1" applyFill="1" applyBorder="1" applyAlignment="1">
      <alignment horizontal="center"/>
    </xf>
    <xf numFmtId="0" fontId="10" fillId="8" borderId="31" xfId="0" applyFont="1" applyFill="1" applyBorder="1" applyAlignment="1">
      <alignment horizontal="center"/>
    </xf>
    <xf numFmtId="0" fontId="10" fillId="5" borderId="30" xfId="0" applyFont="1" applyFill="1" applyBorder="1" applyAlignment="1">
      <alignment horizontal="center"/>
    </xf>
    <xf numFmtId="0" fontId="10" fillId="5" borderId="31" xfId="0" applyFont="1" applyFill="1" applyBorder="1" applyAlignment="1">
      <alignment horizontal="center"/>
    </xf>
    <xf numFmtId="0" fontId="9" fillId="0" borderId="30" xfId="0" applyFont="1" applyBorder="1" applyAlignment="1">
      <alignment horizontal="center" vertical="center" wrapText="1"/>
    </xf>
    <xf numFmtId="0" fontId="9" fillId="0" borderId="31" xfId="0" applyFont="1" applyBorder="1" applyAlignment="1">
      <alignment horizontal="center" vertical="center" wrapText="1"/>
    </xf>
    <xf numFmtId="0" fontId="9" fillId="0" borderId="32" xfId="0" applyFont="1" applyBorder="1" applyAlignment="1">
      <alignment horizontal="center" vertical="center" wrapText="1"/>
    </xf>
    <xf numFmtId="0" fontId="9" fillId="0" borderId="33" xfId="0" applyFont="1" applyBorder="1" applyAlignment="1">
      <alignment horizontal="center" vertical="center" wrapText="1"/>
    </xf>
    <xf numFmtId="0" fontId="9" fillId="0" borderId="0" xfId="0" applyFont="1" applyBorder="1" applyAlignment="1">
      <alignment horizontal="center" vertical="center" wrapText="1"/>
    </xf>
    <xf numFmtId="0" fontId="10" fillId="13" borderId="30" xfId="0" applyFont="1" applyFill="1" applyBorder="1" applyAlignment="1">
      <alignment horizontal="center"/>
    </xf>
    <xf numFmtId="0" fontId="9" fillId="13" borderId="31" xfId="0" applyFont="1" applyFill="1" applyBorder="1" applyAlignment="1">
      <alignment horizontal="center"/>
    </xf>
    <xf numFmtId="0" fontId="10" fillId="10" borderId="30" xfId="0" applyFont="1" applyFill="1" applyBorder="1" applyAlignment="1">
      <alignment horizontal="center"/>
    </xf>
    <xf numFmtId="0" fontId="10" fillId="10" borderId="31" xfId="0" applyFont="1" applyFill="1" applyBorder="1" applyAlignment="1">
      <alignment horizontal="center"/>
    </xf>
    <xf numFmtId="0" fontId="10" fillId="14" borderId="30" xfId="0" applyFont="1" applyFill="1" applyBorder="1" applyAlignment="1">
      <alignment horizontal="center"/>
    </xf>
    <xf numFmtId="0" fontId="10" fillId="14" borderId="31" xfId="0" applyFont="1" applyFill="1" applyBorder="1" applyAlignment="1">
      <alignment horizontal="center"/>
    </xf>
    <xf numFmtId="0" fontId="9" fillId="0" borderId="30" xfId="0" applyFont="1" applyBorder="1" applyAlignment="1">
      <alignment horizontal="left" vertical="top" wrapText="1"/>
    </xf>
    <xf numFmtId="0" fontId="9" fillId="0" borderId="31" xfId="0" applyFont="1" applyBorder="1" applyAlignment="1">
      <alignment horizontal="left" vertical="top" wrapText="1"/>
    </xf>
    <xf numFmtId="0" fontId="13" fillId="0" borderId="0" xfId="0" applyFont="1" applyBorder="1" applyAlignment="1">
      <alignment horizontal="center"/>
    </xf>
    <xf numFmtId="0" fontId="10" fillId="0" borderId="0" xfId="0" applyFont="1" applyBorder="1" applyAlignment="1">
      <alignment horizontal="center"/>
    </xf>
    <xf numFmtId="0" fontId="13" fillId="0" borderId="0" xfId="0" applyFont="1" applyAlignment="1">
      <alignment horizontal="center"/>
    </xf>
    <xf numFmtId="0" fontId="10" fillId="0" borderId="0" xfId="0" applyFont="1" applyAlignment="1">
      <alignment horizontal="center"/>
    </xf>
  </cellXfs>
  <cellStyles count="2">
    <cellStyle name="Hyperlink" xfId="1" builtinId="8"/>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7C1E1"/>
      <color rgb="FFF3318D"/>
      <color rgb="FF057CCD"/>
      <color rgb="FF8A58EE"/>
      <color rgb="FF8C33E5"/>
      <color rgb="FF0FC5D3"/>
      <color rgb="FF179E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3">
  <dgm:title val=""/>
  <dgm:desc val=""/>
  <dgm:catLst>
    <dgm:cat type="colorful" pri="10300"/>
  </dgm:catLst>
  <dgm:styleLbl name="node0">
    <dgm:fillClrLst meth="repeat">
      <a:schemeClr val="accent2"/>
    </dgm:fillClrLst>
    <dgm:linClrLst meth="repeat">
      <a:schemeClr val="lt1"/>
    </dgm:linClrLst>
    <dgm:effectClrLst/>
    <dgm:txLinClrLst/>
    <dgm:txFillClrLst/>
    <dgm:txEffectClrLst/>
  </dgm:styleLbl>
  <dgm:styleLbl name="node1">
    <dgm:fillClrLst>
      <a:schemeClr val="accent3"/>
      <a:schemeClr val="accent4"/>
    </dgm:fillClrLst>
    <dgm:linClrLst meth="repeat">
      <a:schemeClr val="lt1"/>
    </dgm:linClrLst>
    <dgm:effectClrLst/>
    <dgm:txLinClrLst/>
    <dgm:txFillClrLst/>
    <dgm:txEffectClrLst/>
  </dgm:styleLbl>
  <dgm:styleLbl name="alignNode1">
    <dgm:fillClrLst>
      <a:schemeClr val="accent3"/>
      <a:schemeClr val="accent4"/>
    </dgm:fillClrLst>
    <dgm:linClrLst>
      <a:schemeClr val="accent3"/>
      <a:schemeClr val="accent4"/>
    </dgm:linClrLst>
    <dgm:effectClrLst/>
    <dgm:txLinClrLst/>
    <dgm:txFillClrLst/>
    <dgm:txEffectClrLst/>
  </dgm:styleLbl>
  <dgm:styleLbl name="lnNode1">
    <dgm:fillClrLst>
      <a:schemeClr val="accent3"/>
      <a:schemeClr val="accent4"/>
    </dgm:fillClrLst>
    <dgm:linClrLst meth="repeat">
      <a:schemeClr val="lt1"/>
    </dgm:linClrLst>
    <dgm:effectClrLst/>
    <dgm:txLinClrLst/>
    <dgm:txFillClrLst/>
    <dgm:txEffectClrLst/>
  </dgm:styleLbl>
  <dgm:styleLbl name="vennNode1">
    <dgm:fillClrLst>
      <a:schemeClr val="accent3">
        <a:alpha val="50000"/>
      </a:schemeClr>
      <a:schemeClr val="accent4">
        <a:alpha val="50000"/>
      </a:schemeClr>
    </dgm:fillClrLst>
    <dgm:linClrLst meth="repeat">
      <a:schemeClr val="lt1"/>
    </dgm:linClrLst>
    <dgm:effectClrLst/>
    <dgm:txLinClrLst/>
    <dgm:txFillClrLst/>
    <dgm:txEffectClrLst/>
  </dgm:styleLbl>
  <dgm:styleLbl name="node2">
    <dgm:fillClrLst>
      <a:schemeClr val="accent4"/>
    </dgm:fillClrLst>
    <dgm:linClrLst meth="repeat">
      <a:schemeClr val="lt1"/>
    </dgm:linClrLst>
    <dgm:effectClrLst/>
    <dgm:txLinClrLst/>
    <dgm:txFillClrLst/>
    <dgm:txEffectClrLst/>
  </dgm:styleLbl>
  <dgm:styleLbl name="node3">
    <dgm:fillClrLst>
      <a:schemeClr val="accent5"/>
    </dgm:fillClrLst>
    <dgm:linClrLst meth="repeat">
      <a:schemeClr val="lt1"/>
    </dgm:linClrLst>
    <dgm:effectClrLst/>
    <dgm:txLinClrLst/>
    <dgm:txFillClrLst/>
    <dgm:txEffectClrLst/>
  </dgm:styleLbl>
  <dgm:styleLbl name="node4">
    <dgm:fillClrLst>
      <a:schemeClr val="accent6"/>
    </dgm:fillClrLst>
    <dgm:linClrLst meth="repeat">
      <a:schemeClr val="lt1"/>
    </dgm:linClrLst>
    <dgm:effectClrLst/>
    <dgm:txLinClrLst/>
    <dgm:txFillClrLst/>
    <dgm:txEffectClrLst/>
  </dgm:styleLbl>
  <dgm:styleLbl name="fgImgPlace1">
    <dgm:fillClrLst>
      <a:schemeClr val="accent3">
        <a:tint val="50000"/>
      </a:schemeClr>
      <a:schemeClr val="accent4">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4">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4">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chemeClr val="accent4"/>
    </dgm:fillClrLst>
    <dgm:linClrLst meth="repeat">
      <a:schemeClr val="lt1"/>
    </dgm:linClrLst>
    <dgm:effectClrLst/>
    <dgm:txLinClrLst/>
    <dgm:txFillClrLst/>
    <dgm:txEffectClrLst/>
  </dgm:styleLbl>
  <dgm:styleLbl name="fgSibTrans2D1">
    <dgm:fillClrLst>
      <a:schemeClr val="accent3"/>
      <a:schemeClr val="accent4"/>
    </dgm:fillClrLst>
    <dgm:linClrLst meth="repeat">
      <a:schemeClr val="lt1"/>
    </dgm:linClrLst>
    <dgm:effectClrLst/>
    <dgm:txLinClrLst/>
    <dgm:txFillClrLst meth="repeat">
      <a:schemeClr val="lt1"/>
    </dgm:txFillClrLst>
    <dgm:txEffectClrLst/>
  </dgm:styleLbl>
  <dgm:styleLbl name="bgSibTrans2D1">
    <dgm:fillClrLst>
      <a:schemeClr val="accent3"/>
      <a:schemeClr val="accent4"/>
    </dgm:fillClrLst>
    <dgm:linClrLst meth="repeat">
      <a:schemeClr val="lt1"/>
    </dgm:linClrLst>
    <dgm:effectClrLst/>
    <dgm:txLinClrLst/>
    <dgm:txFillClrLst meth="repeat">
      <a:schemeClr val="lt1"/>
    </dgm:txFillClrLst>
    <dgm:txEffectClrLst/>
  </dgm:styleLbl>
  <dgm:styleLbl name="sibTrans1D1">
    <dgm:fillClrLst/>
    <dgm:linClrLst>
      <a:schemeClr val="accent3"/>
      <a:schemeClr val="accent4"/>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a:shade val="80000"/>
      </a:schemeClr>
    </dgm:linClrLst>
    <dgm:effectClrLst/>
    <dgm:txLinClrLst/>
    <dgm:txFillClrLst/>
    <dgm:txEffectClrLst/>
  </dgm:styleLbl>
  <dgm:styleLbl name="asst1">
    <dgm:fillClrLst meth="repeat">
      <a:schemeClr val="accent4"/>
    </dgm:fillClrLst>
    <dgm:linClrLst meth="repeat">
      <a:schemeClr val="lt1">
        <a:shade val="80000"/>
      </a:schemeClr>
    </dgm:linClrLst>
    <dgm:effectClrLst/>
    <dgm:txLinClrLst/>
    <dgm:txFillClrLst/>
    <dgm:txEffectClrLst/>
  </dgm:styleLbl>
  <dgm:styleLbl name="asst2">
    <dgm:fillClrLst>
      <a:schemeClr val="accent5"/>
    </dgm:fillClrLst>
    <dgm:linClrLst meth="repeat">
      <a:schemeClr val="lt1"/>
    </dgm:linClrLst>
    <dgm:effectClrLst/>
    <dgm:txLinClrLst/>
    <dgm:txFillClrLst/>
    <dgm:txEffectClrLst/>
  </dgm:styleLbl>
  <dgm:styleLbl name="asst3">
    <dgm:fillClrLst>
      <a:schemeClr val="accent6"/>
    </dgm:fillClrLst>
    <dgm:linClrLst meth="repeat">
      <a:schemeClr val="lt1"/>
    </dgm:linClrLst>
    <dgm:effectClrLst/>
    <dgm:txLinClrLst/>
    <dgm:txFillClrLst/>
    <dgm:txEffectClrLst/>
  </dgm:styleLbl>
  <dgm:styleLbl name="asst4">
    <dgm:fillClrLst>
      <a:schemeClr val="accent1"/>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3"/>
    </dgm:fillClrLst>
    <dgm:linClrLst meth="repeat">
      <a:schemeClr val="accent3"/>
    </dgm:linClrLst>
    <dgm:effectClrLst/>
    <dgm:txLinClrLst/>
    <dgm:txFillClrLst meth="repeat">
      <a:schemeClr val="tx1"/>
    </dgm:txFillClrLst>
    <dgm:txEffectClrLst/>
  </dgm:styleLbl>
  <dgm:styleLbl name="parChTrans1D2">
    <dgm:fillClrLst meth="repeat">
      <a:schemeClr val="accent2">
        <a:tint val="90000"/>
      </a:schemeClr>
    </dgm:fillClrLst>
    <dgm:linClrLst meth="repeat">
      <a:schemeClr val="accent4"/>
    </dgm:linClrLst>
    <dgm:effectClrLst/>
    <dgm:txLinClrLst/>
    <dgm:txFillClrLst meth="repeat">
      <a:schemeClr val="tx1"/>
    </dgm:txFillClrLst>
    <dgm:txEffectClrLst/>
  </dgm:styleLbl>
  <dgm:styleLbl name="parChTrans1D3">
    <dgm:fillClrLst meth="repeat">
      <a:schemeClr val="accent2">
        <a:tint val="70000"/>
      </a:schemeClr>
    </dgm:fillClrLst>
    <dgm:linClrLst meth="repeat">
      <a:schemeClr val="accent5"/>
    </dgm:linClrLst>
    <dgm:effectClrLst/>
    <dgm:txLinClrLst/>
    <dgm:txFillClrLst meth="repeat">
      <a:schemeClr val="tx1"/>
    </dgm:txFillClrLst>
    <dgm:txEffectClrLst/>
  </dgm:styleLbl>
  <dgm:styleLbl name="parChTrans1D4">
    <dgm:fillClrLst meth="repeat">
      <a:schemeClr val="accent6">
        <a:tint val="50000"/>
      </a:schemeClr>
    </dgm:fillClrLst>
    <dgm:linClrLst meth="repeat">
      <a:schemeClr val="accent6"/>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solidFgAcc1">
    <dgm:fillClrLst meth="repeat">
      <a:schemeClr val="lt1"/>
    </dgm:fillClrLst>
    <dgm:linClrLst>
      <a:schemeClr val="accent3"/>
      <a:schemeClr val="accent4"/>
    </dgm:linClrLst>
    <dgm:effectClrLst/>
    <dgm:txLinClrLst/>
    <dgm:txFillClrLst meth="repeat">
      <a:schemeClr val="dk1"/>
    </dgm:txFillClrLst>
    <dgm:txEffectClrLst/>
  </dgm:styleLbl>
  <dgm:styleLbl name="solidAlignAcc1">
    <dgm:fillClrLst meth="repeat">
      <a:schemeClr val="lt1"/>
    </dgm:fillClrLst>
    <dgm:linClrLst>
      <a:schemeClr val="accent3"/>
      <a:schemeClr val="accent4"/>
    </dgm:linClrLst>
    <dgm:effectClrLst/>
    <dgm:txLinClrLst/>
    <dgm:txFillClrLst meth="repeat">
      <a:schemeClr val="dk1"/>
    </dgm:txFillClrLst>
    <dgm:txEffectClrLst/>
  </dgm:styleLbl>
  <dgm:styleLbl name="solidBgAcc1">
    <dgm:fillClrLst meth="repeat">
      <a:schemeClr val="lt1"/>
    </dgm:fillClrLst>
    <dgm:linClrLst>
      <a:schemeClr val="accent3"/>
      <a:schemeClr val="accent4"/>
    </dgm:linClrLst>
    <dgm:effectClrLst/>
    <dgm:txLinClrLst/>
    <dgm:txFillClrLst meth="repeat">
      <a:schemeClr val="dk1"/>
    </dgm:txFillClrLst>
    <dgm:txEffectClrLst/>
  </dgm:styleLbl>
  <dgm:styleLbl name="fg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align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bg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2"/>
    </dgm:linClrLst>
    <dgm:effectClrLst/>
    <dgm:txLinClrLst/>
    <dgm:txFillClrLst meth="repeat">
      <a:schemeClr val="dk1"/>
    </dgm:txFillClrLst>
    <dgm:txEffectClrLst/>
  </dgm:styleLbl>
  <dgm:styleLbl name="fgAcc2">
    <dgm:fillClrLst meth="repeat">
      <a:schemeClr val="lt1">
        <a:alpha val="90000"/>
      </a:schemeClr>
    </dgm:fillClrLst>
    <dgm:linClrLst>
      <a:schemeClr val="accent4"/>
    </dgm:linClrLst>
    <dgm:effectClrLst/>
    <dgm:txLinClrLst/>
    <dgm:txFillClrLst meth="repeat">
      <a:schemeClr val="dk1"/>
    </dgm:txFillClrLst>
    <dgm:txEffectClrLst/>
  </dgm:styleLbl>
  <dgm:styleLbl name="fgAcc3">
    <dgm:fillClrLst meth="repeat">
      <a:schemeClr val="lt1">
        <a:alpha val="90000"/>
      </a:schemeClr>
    </dgm:fillClrLst>
    <dgm:linClrLst>
      <a:schemeClr val="accent5"/>
    </dgm:linClrLst>
    <dgm:effectClrLst/>
    <dgm:txLinClrLst/>
    <dgm:txFillClrLst meth="repeat">
      <a:schemeClr val="dk1"/>
    </dgm:txFillClrLst>
    <dgm:txEffectClrLst/>
  </dgm:styleLbl>
  <dgm:styleLbl name="fgAcc4">
    <dgm:fillClrLst meth="repeat">
      <a:schemeClr val="lt1">
        <a:alpha val="90000"/>
      </a:schemeClr>
    </dgm:fillClrLst>
    <dgm:linClrLst>
      <a:schemeClr val="accent6"/>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3">
  <dgm:title val=""/>
  <dgm:desc val=""/>
  <dgm:catLst>
    <dgm:cat type="colorful" pri="10300"/>
  </dgm:catLst>
  <dgm:styleLbl name="node0">
    <dgm:fillClrLst meth="repeat">
      <a:schemeClr val="accent2"/>
    </dgm:fillClrLst>
    <dgm:linClrLst meth="repeat">
      <a:schemeClr val="lt1"/>
    </dgm:linClrLst>
    <dgm:effectClrLst/>
    <dgm:txLinClrLst/>
    <dgm:txFillClrLst/>
    <dgm:txEffectClrLst/>
  </dgm:styleLbl>
  <dgm:styleLbl name="node1">
    <dgm:fillClrLst>
      <a:schemeClr val="accent3"/>
      <a:schemeClr val="accent4"/>
    </dgm:fillClrLst>
    <dgm:linClrLst meth="repeat">
      <a:schemeClr val="lt1"/>
    </dgm:linClrLst>
    <dgm:effectClrLst/>
    <dgm:txLinClrLst/>
    <dgm:txFillClrLst/>
    <dgm:txEffectClrLst/>
  </dgm:styleLbl>
  <dgm:styleLbl name="alignNode1">
    <dgm:fillClrLst>
      <a:schemeClr val="accent3"/>
      <a:schemeClr val="accent4"/>
    </dgm:fillClrLst>
    <dgm:linClrLst>
      <a:schemeClr val="accent3"/>
      <a:schemeClr val="accent4"/>
    </dgm:linClrLst>
    <dgm:effectClrLst/>
    <dgm:txLinClrLst/>
    <dgm:txFillClrLst/>
    <dgm:txEffectClrLst/>
  </dgm:styleLbl>
  <dgm:styleLbl name="lnNode1">
    <dgm:fillClrLst>
      <a:schemeClr val="accent3"/>
      <a:schemeClr val="accent4"/>
    </dgm:fillClrLst>
    <dgm:linClrLst meth="repeat">
      <a:schemeClr val="lt1"/>
    </dgm:linClrLst>
    <dgm:effectClrLst/>
    <dgm:txLinClrLst/>
    <dgm:txFillClrLst/>
    <dgm:txEffectClrLst/>
  </dgm:styleLbl>
  <dgm:styleLbl name="vennNode1">
    <dgm:fillClrLst>
      <a:schemeClr val="accent3">
        <a:alpha val="50000"/>
      </a:schemeClr>
      <a:schemeClr val="accent4">
        <a:alpha val="50000"/>
      </a:schemeClr>
    </dgm:fillClrLst>
    <dgm:linClrLst meth="repeat">
      <a:schemeClr val="lt1"/>
    </dgm:linClrLst>
    <dgm:effectClrLst/>
    <dgm:txLinClrLst/>
    <dgm:txFillClrLst/>
    <dgm:txEffectClrLst/>
  </dgm:styleLbl>
  <dgm:styleLbl name="node2">
    <dgm:fillClrLst>
      <a:schemeClr val="accent4"/>
    </dgm:fillClrLst>
    <dgm:linClrLst meth="repeat">
      <a:schemeClr val="lt1"/>
    </dgm:linClrLst>
    <dgm:effectClrLst/>
    <dgm:txLinClrLst/>
    <dgm:txFillClrLst/>
    <dgm:txEffectClrLst/>
  </dgm:styleLbl>
  <dgm:styleLbl name="node3">
    <dgm:fillClrLst>
      <a:schemeClr val="accent5"/>
    </dgm:fillClrLst>
    <dgm:linClrLst meth="repeat">
      <a:schemeClr val="lt1"/>
    </dgm:linClrLst>
    <dgm:effectClrLst/>
    <dgm:txLinClrLst/>
    <dgm:txFillClrLst/>
    <dgm:txEffectClrLst/>
  </dgm:styleLbl>
  <dgm:styleLbl name="node4">
    <dgm:fillClrLst>
      <a:schemeClr val="accent6"/>
    </dgm:fillClrLst>
    <dgm:linClrLst meth="repeat">
      <a:schemeClr val="lt1"/>
    </dgm:linClrLst>
    <dgm:effectClrLst/>
    <dgm:txLinClrLst/>
    <dgm:txFillClrLst/>
    <dgm:txEffectClrLst/>
  </dgm:styleLbl>
  <dgm:styleLbl name="fgImgPlace1">
    <dgm:fillClrLst>
      <a:schemeClr val="accent3">
        <a:tint val="50000"/>
      </a:schemeClr>
      <a:schemeClr val="accent4">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4">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4">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chemeClr val="accent4"/>
    </dgm:fillClrLst>
    <dgm:linClrLst meth="repeat">
      <a:schemeClr val="lt1"/>
    </dgm:linClrLst>
    <dgm:effectClrLst/>
    <dgm:txLinClrLst/>
    <dgm:txFillClrLst/>
    <dgm:txEffectClrLst/>
  </dgm:styleLbl>
  <dgm:styleLbl name="fgSibTrans2D1">
    <dgm:fillClrLst>
      <a:schemeClr val="accent3"/>
      <a:schemeClr val="accent4"/>
    </dgm:fillClrLst>
    <dgm:linClrLst meth="repeat">
      <a:schemeClr val="lt1"/>
    </dgm:linClrLst>
    <dgm:effectClrLst/>
    <dgm:txLinClrLst/>
    <dgm:txFillClrLst meth="repeat">
      <a:schemeClr val="lt1"/>
    </dgm:txFillClrLst>
    <dgm:txEffectClrLst/>
  </dgm:styleLbl>
  <dgm:styleLbl name="bgSibTrans2D1">
    <dgm:fillClrLst>
      <a:schemeClr val="accent3"/>
      <a:schemeClr val="accent4"/>
    </dgm:fillClrLst>
    <dgm:linClrLst meth="repeat">
      <a:schemeClr val="lt1"/>
    </dgm:linClrLst>
    <dgm:effectClrLst/>
    <dgm:txLinClrLst/>
    <dgm:txFillClrLst meth="repeat">
      <a:schemeClr val="lt1"/>
    </dgm:txFillClrLst>
    <dgm:txEffectClrLst/>
  </dgm:styleLbl>
  <dgm:styleLbl name="sibTrans1D1">
    <dgm:fillClrLst/>
    <dgm:linClrLst>
      <a:schemeClr val="accent3"/>
      <a:schemeClr val="accent4"/>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a:shade val="80000"/>
      </a:schemeClr>
    </dgm:linClrLst>
    <dgm:effectClrLst/>
    <dgm:txLinClrLst/>
    <dgm:txFillClrLst/>
    <dgm:txEffectClrLst/>
  </dgm:styleLbl>
  <dgm:styleLbl name="asst1">
    <dgm:fillClrLst meth="repeat">
      <a:schemeClr val="accent4"/>
    </dgm:fillClrLst>
    <dgm:linClrLst meth="repeat">
      <a:schemeClr val="lt1">
        <a:shade val="80000"/>
      </a:schemeClr>
    </dgm:linClrLst>
    <dgm:effectClrLst/>
    <dgm:txLinClrLst/>
    <dgm:txFillClrLst/>
    <dgm:txEffectClrLst/>
  </dgm:styleLbl>
  <dgm:styleLbl name="asst2">
    <dgm:fillClrLst>
      <a:schemeClr val="accent5"/>
    </dgm:fillClrLst>
    <dgm:linClrLst meth="repeat">
      <a:schemeClr val="lt1"/>
    </dgm:linClrLst>
    <dgm:effectClrLst/>
    <dgm:txLinClrLst/>
    <dgm:txFillClrLst/>
    <dgm:txEffectClrLst/>
  </dgm:styleLbl>
  <dgm:styleLbl name="asst3">
    <dgm:fillClrLst>
      <a:schemeClr val="accent6"/>
    </dgm:fillClrLst>
    <dgm:linClrLst meth="repeat">
      <a:schemeClr val="lt1"/>
    </dgm:linClrLst>
    <dgm:effectClrLst/>
    <dgm:txLinClrLst/>
    <dgm:txFillClrLst/>
    <dgm:txEffectClrLst/>
  </dgm:styleLbl>
  <dgm:styleLbl name="asst4">
    <dgm:fillClrLst>
      <a:schemeClr val="accent1"/>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3"/>
    </dgm:fillClrLst>
    <dgm:linClrLst meth="repeat">
      <a:schemeClr val="accent3"/>
    </dgm:linClrLst>
    <dgm:effectClrLst/>
    <dgm:txLinClrLst/>
    <dgm:txFillClrLst meth="repeat">
      <a:schemeClr val="tx1"/>
    </dgm:txFillClrLst>
    <dgm:txEffectClrLst/>
  </dgm:styleLbl>
  <dgm:styleLbl name="parChTrans1D2">
    <dgm:fillClrLst meth="repeat">
      <a:schemeClr val="accent2">
        <a:tint val="90000"/>
      </a:schemeClr>
    </dgm:fillClrLst>
    <dgm:linClrLst meth="repeat">
      <a:schemeClr val="accent4"/>
    </dgm:linClrLst>
    <dgm:effectClrLst/>
    <dgm:txLinClrLst/>
    <dgm:txFillClrLst meth="repeat">
      <a:schemeClr val="tx1"/>
    </dgm:txFillClrLst>
    <dgm:txEffectClrLst/>
  </dgm:styleLbl>
  <dgm:styleLbl name="parChTrans1D3">
    <dgm:fillClrLst meth="repeat">
      <a:schemeClr val="accent2">
        <a:tint val="70000"/>
      </a:schemeClr>
    </dgm:fillClrLst>
    <dgm:linClrLst meth="repeat">
      <a:schemeClr val="accent5"/>
    </dgm:linClrLst>
    <dgm:effectClrLst/>
    <dgm:txLinClrLst/>
    <dgm:txFillClrLst meth="repeat">
      <a:schemeClr val="tx1"/>
    </dgm:txFillClrLst>
    <dgm:txEffectClrLst/>
  </dgm:styleLbl>
  <dgm:styleLbl name="parChTrans1D4">
    <dgm:fillClrLst meth="repeat">
      <a:schemeClr val="accent6">
        <a:tint val="50000"/>
      </a:schemeClr>
    </dgm:fillClrLst>
    <dgm:linClrLst meth="repeat">
      <a:schemeClr val="accent6"/>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solidFgAcc1">
    <dgm:fillClrLst meth="repeat">
      <a:schemeClr val="lt1"/>
    </dgm:fillClrLst>
    <dgm:linClrLst>
      <a:schemeClr val="accent3"/>
      <a:schemeClr val="accent4"/>
    </dgm:linClrLst>
    <dgm:effectClrLst/>
    <dgm:txLinClrLst/>
    <dgm:txFillClrLst meth="repeat">
      <a:schemeClr val="dk1"/>
    </dgm:txFillClrLst>
    <dgm:txEffectClrLst/>
  </dgm:styleLbl>
  <dgm:styleLbl name="solidAlignAcc1">
    <dgm:fillClrLst meth="repeat">
      <a:schemeClr val="lt1"/>
    </dgm:fillClrLst>
    <dgm:linClrLst>
      <a:schemeClr val="accent3"/>
      <a:schemeClr val="accent4"/>
    </dgm:linClrLst>
    <dgm:effectClrLst/>
    <dgm:txLinClrLst/>
    <dgm:txFillClrLst meth="repeat">
      <a:schemeClr val="dk1"/>
    </dgm:txFillClrLst>
    <dgm:txEffectClrLst/>
  </dgm:styleLbl>
  <dgm:styleLbl name="solidBgAcc1">
    <dgm:fillClrLst meth="repeat">
      <a:schemeClr val="lt1"/>
    </dgm:fillClrLst>
    <dgm:linClrLst>
      <a:schemeClr val="accent3"/>
      <a:schemeClr val="accent4"/>
    </dgm:linClrLst>
    <dgm:effectClrLst/>
    <dgm:txLinClrLst/>
    <dgm:txFillClrLst meth="repeat">
      <a:schemeClr val="dk1"/>
    </dgm:txFillClrLst>
    <dgm:txEffectClrLst/>
  </dgm:styleLbl>
  <dgm:styleLbl name="fg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align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bg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2"/>
    </dgm:linClrLst>
    <dgm:effectClrLst/>
    <dgm:txLinClrLst/>
    <dgm:txFillClrLst meth="repeat">
      <a:schemeClr val="dk1"/>
    </dgm:txFillClrLst>
    <dgm:txEffectClrLst/>
  </dgm:styleLbl>
  <dgm:styleLbl name="fgAcc2">
    <dgm:fillClrLst meth="repeat">
      <a:schemeClr val="lt1">
        <a:alpha val="90000"/>
      </a:schemeClr>
    </dgm:fillClrLst>
    <dgm:linClrLst>
      <a:schemeClr val="accent4"/>
    </dgm:linClrLst>
    <dgm:effectClrLst/>
    <dgm:txLinClrLst/>
    <dgm:txFillClrLst meth="repeat">
      <a:schemeClr val="dk1"/>
    </dgm:txFillClrLst>
    <dgm:txEffectClrLst/>
  </dgm:styleLbl>
  <dgm:styleLbl name="fgAcc3">
    <dgm:fillClrLst meth="repeat">
      <a:schemeClr val="lt1">
        <a:alpha val="90000"/>
      </a:schemeClr>
    </dgm:fillClrLst>
    <dgm:linClrLst>
      <a:schemeClr val="accent5"/>
    </dgm:linClrLst>
    <dgm:effectClrLst/>
    <dgm:txLinClrLst/>
    <dgm:txFillClrLst meth="repeat">
      <a:schemeClr val="dk1"/>
    </dgm:txFillClrLst>
    <dgm:txEffectClrLst/>
  </dgm:styleLbl>
  <dgm:styleLbl name="fgAcc4">
    <dgm:fillClrLst meth="repeat">
      <a:schemeClr val="lt1">
        <a:alpha val="90000"/>
      </a:schemeClr>
    </dgm:fillClrLst>
    <dgm:linClrLst>
      <a:schemeClr val="accent6"/>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CA903A42-A009-4F72-8BC6-9DD141BB282D}" type="doc">
      <dgm:prSet loTypeId="urn:microsoft.com/office/officeart/2005/8/layout/StepDownProcess" loCatId="process" qsTypeId="urn:microsoft.com/office/officeart/2005/8/quickstyle/simple1" qsCatId="simple" csTypeId="urn:microsoft.com/office/officeart/2005/8/colors/accent1_2" csCatId="accent1" phldr="1"/>
      <dgm:spPr/>
      <dgm:t>
        <a:bodyPr/>
        <a:lstStyle/>
        <a:p>
          <a:endParaRPr lang="en-US"/>
        </a:p>
      </dgm:t>
    </dgm:pt>
    <dgm:pt modelId="{7CBF5620-09E0-46A2-8858-3CE5CA85630C}">
      <dgm:prSet phldrT="[Text]" custT="1"/>
      <dgm:spPr>
        <a:solidFill>
          <a:schemeClr val="bg1">
            <a:lumMod val="65000"/>
          </a:schemeClr>
        </a:solidFill>
      </dgm:spPr>
      <dgm:t>
        <a:bodyPr/>
        <a:lstStyle/>
        <a:p>
          <a:r>
            <a:rPr lang="en-US" sz="1500"/>
            <a:t>Orders - </a:t>
          </a:r>
          <a:r>
            <a:rPr lang="en-US" sz="1400"/>
            <a:t>original data</a:t>
          </a:r>
        </a:p>
      </dgm:t>
    </dgm:pt>
    <dgm:pt modelId="{F1CEECC4-DB69-4B0B-9EBC-ED09D8A83D11}" type="parTrans" cxnId="{5D170FD6-8665-4F6E-B163-BF3EC675BE43}">
      <dgm:prSet/>
      <dgm:spPr/>
      <dgm:t>
        <a:bodyPr/>
        <a:lstStyle/>
        <a:p>
          <a:endParaRPr lang="en-US"/>
        </a:p>
      </dgm:t>
    </dgm:pt>
    <dgm:pt modelId="{3C95FB23-AC91-4BDD-A5DF-1E2BBC84BF28}" type="sibTrans" cxnId="{5D170FD6-8665-4F6E-B163-BF3EC675BE43}">
      <dgm:prSet/>
      <dgm:spPr/>
      <dgm:t>
        <a:bodyPr/>
        <a:lstStyle/>
        <a:p>
          <a:endParaRPr lang="en-US"/>
        </a:p>
      </dgm:t>
    </dgm:pt>
    <dgm:pt modelId="{F6D3A649-1C60-4B55-B606-CFE40DF72DF5}">
      <dgm:prSet phldrT="[Text]" custT="1"/>
      <dgm:spPr/>
      <dgm:t>
        <a:bodyPr/>
        <a:lstStyle/>
        <a:p>
          <a:r>
            <a:rPr lang="en-US" sz="1200">
              <a:solidFill>
                <a:schemeClr val="bg2">
                  <a:lumMod val="50000"/>
                </a:schemeClr>
              </a:solidFill>
            </a:rPr>
            <a:t>Total</a:t>
          </a:r>
          <a:r>
            <a:rPr lang="en-US" sz="1400">
              <a:solidFill>
                <a:schemeClr val="bg2">
                  <a:lumMod val="50000"/>
                </a:schemeClr>
              </a:solidFill>
            </a:rPr>
            <a:t>: 3421083 rows </a:t>
          </a:r>
          <a:r>
            <a:rPr lang="en-US" sz="1200">
              <a:solidFill>
                <a:schemeClr val="bg2">
                  <a:lumMod val="50000"/>
                </a:schemeClr>
              </a:solidFill>
            </a:rPr>
            <a:t> </a:t>
          </a:r>
        </a:p>
      </dgm:t>
    </dgm:pt>
    <dgm:pt modelId="{D5243493-EF89-4757-B391-CB17EECAF797}" type="parTrans" cxnId="{062732A4-5351-49C0-84A2-A243F20D584D}">
      <dgm:prSet/>
      <dgm:spPr/>
      <dgm:t>
        <a:bodyPr/>
        <a:lstStyle/>
        <a:p>
          <a:endParaRPr lang="en-US"/>
        </a:p>
      </dgm:t>
    </dgm:pt>
    <dgm:pt modelId="{E35DE067-47FC-492E-BEE7-D46FDFA28324}" type="sibTrans" cxnId="{062732A4-5351-49C0-84A2-A243F20D584D}">
      <dgm:prSet/>
      <dgm:spPr/>
      <dgm:t>
        <a:bodyPr/>
        <a:lstStyle/>
        <a:p>
          <a:endParaRPr lang="en-US"/>
        </a:p>
      </dgm:t>
    </dgm:pt>
    <dgm:pt modelId="{7DEB02D4-2CD9-403B-887F-18143FC33EDF}">
      <dgm:prSet phldrT="[Text]" custT="1"/>
      <dgm:spPr/>
      <dgm:t>
        <a:bodyPr/>
        <a:lstStyle/>
        <a:p>
          <a:r>
            <a:rPr lang="en-US" sz="1500"/>
            <a:t>Orders - </a:t>
          </a:r>
          <a:r>
            <a:rPr lang="en-US" sz="1200"/>
            <a:t>after consistency checks</a:t>
          </a:r>
        </a:p>
      </dgm:t>
    </dgm:pt>
    <dgm:pt modelId="{5F18CA3B-A88B-4314-B7DE-63E16D626930}" type="parTrans" cxnId="{E7657E4B-DBB7-444E-A111-D8D6CD990619}">
      <dgm:prSet/>
      <dgm:spPr/>
      <dgm:t>
        <a:bodyPr/>
        <a:lstStyle/>
        <a:p>
          <a:endParaRPr lang="en-US"/>
        </a:p>
      </dgm:t>
    </dgm:pt>
    <dgm:pt modelId="{3C77F7A5-5043-4E27-B9A5-9CFB096240E7}" type="sibTrans" cxnId="{E7657E4B-DBB7-444E-A111-D8D6CD990619}">
      <dgm:prSet/>
      <dgm:spPr/>
      <dgm:t>
        <a:bodyPr/>
        <a:lstStyle/>
        <a:p>
          <a:endParaRPr lang="en-US"/>
        </a:p>
      </dgm:t>
    </dgm:pt>
    <dgm:pt modelId="{F5AF6BFF-CD30-4A21-AB6B-207B401B2B79}">
      <dgm:prSet phldrT="[Text]" custT="1"/>
      <dgm:spPr/>
      <dgm:t>
        <a:bodyPr/>
        <a:lstStyle/>
        <a:p>
          <a:r>
            <a:rPr lang="en-US" sz="1200">
              <a:solidFill>
                <a:schemeClr val="bg2">
                  <a:lumMod val="50000"/>
                </a:schemeClr>
              </a:solidFill>
            </a:rPr>
            <a:t>Total: 3421083 </a:t>
          </a:r>
        </a:p>
      </dgm:t>
    </dgm:pt>
    <dgm:pt modelId="{A957C588-A1EA-4AA1-9A58-6FDD4CAC68FC}" type="parTrans" cxnId="{A35F16C7-64CE-4519-899A-06BF6266D785}">
      <dgm:prSet/>
      <dgm:spPr/>
      <dgm:t>
        <a:bodyPr/>
        <a:lstStyle/>
        <a:p>
          <a:endParaRPr lang="en-US"/>
        </a:p>
      </dgm:t>
    </dgm:pt>
    <dgm:pt modelId="{8BDB1C26-E169-4FE4-8072-4D0698AE6334}" type="sibTrans" cxnId="{A35F16C7-64CE-4519-899A-06BF6266D785}">
      <dgm:prSet/>
      <dgm:spPr/>
      <dgm:t>
        <a:bodyPr/>
        <a:lstStyle/>
        <a:p>
          <a:endParaRPr lang="en-US"/>
        </a:p>
      </dgm:t>
    </dgm:pt>
    <dgm:pt modelId="{70A312E2-ED89-4881-BC50-540DCB79D545}" type="pres">
      <dgm:prSet presAssocID="{CA903A42-A009-4F72-8BC6-9DD141BB282D}" presName="rootnode" presStyleCnt="0">
        <dgm:presLayoutVars>
          <dgm:chMax/>
          <dgm:chPref/>
          <dgm:dir/>
          <dgm:animLvl val="lvl"/>
        </dgm:presLayoutVars>
      </dgm:prSet>
      <dgm:spPr/>
    </dgm:pt>
    <dgm:pt modelId="{B540FA27-FC05-4F97-A5E4-C6C9894DDD59}" type="pres">
      <dgm:prSet presAssocID="{7CBF5620-09E0-46A2-8858-3CE5CA85630C}" presName="composite" presStyleCnt="0"/>
      <dgm:spPr/>
    </dgm:pt>
    <dgm:pt modelId="{C7FC639B-DBD0-4474-AA04-8D39CEEA37AD}" type="pres">
      <dgm:prSet presAssocID="{7CBF5620-09E0-46A2-8858-3CE5CA85630C}" presName="bentUpArrow1" presStyleLbl="alignImgPlace1" presStyleIdx="0" presStyleCnt="1" custLinFactNeighborY="9506"/>
      <dgm:spPr>
        <a:solidFill>
          <a:schemeClr val="bg1">
            <a:lumMod val="85000"/>
          </a:schemeClr>
        </a:solidFill>
      </dgm:spPr>
    </dgm:pt>
    <dgm:pt modelId="{8CB8EF60-C020-4647-B5EC-0535B39E8CAC}" type="pres">
      <dgm:prSet presAssocID="{7CBF5620-09E0-46A2-8858-3CE5CA85630C}" presName="ParentText" presStyleLbl="node1" presStyleIdx="0" presStyleCnt="2">
        <dgm:presLayoutVars>
          <dgm:chMax val="1"/>
          <dgm:chPref val="1"/>
          <dgm:bulletEnabled val="1"/>
        </dgm:presLayoutVars>
      </dgm:prSet>
      <dgm:spPr/>
    </dgm:pt>
    <dgm:pt modelId="{02D75559-D361-43C2-960D-0DE64B2217E1}" type="pres">
      <dgm:prSet presAssocID="{7CBF5620-09E0-46A2-8858-3CE5CA85630C}" presName="ChildText" presStyleLbl="revTx" presStyleIdx="0" presStyleCnt="2" custScaleX="220193" custLinFactNeighborX="68545">
        <dgm:presLayoutVars>
          <dgm:chMax val="0"/>
          <dgm:chPref val="0"/>
          <dgm:bulletEnabled val="1"/>
        </dgm:presLayoutVars>
      </dgm:prSet>
      <dgm:spPr/>
    </dgm:pt>
    <dgm:pt modelId="{4660D17F-30F6-42C5-8EE6-35E146A86B60}" type="pres">
      <dgm:prSet presAssocID="{3C95FB23-AC91-4BDD-A5DF-1E2BBC84BF28}" presName="sibTrans" presStyleCnt="0"/>
      <dgm:spPr/>
    </dgm:pt>
    <dgm:pt modelId="{79D90592-88B8-4FC4-85C7-8522F3A319D2}" type="pres">
      <dgm:prSet presAssocID="{7DEB02D4-2CD9-403B-887F-18143FC33EDF}" presName="composite" presStyleCnt="0"/>
      <dgm:spPr/>
    </dgm:pt>
    <dgm:pt modelId="{9621899D-0F5A-435B-840E-4641491BFF2E}" type="pres">
      <dgm:prSet presAssocID="{7DEB02D4-2CD9-403B-887F-18143FC33EDF}" presName="ParentText" presStyleLbl="node1" presStyleIdx="1" presStyleCnt="2" custScaleX="108334" custScaleY="109008" custLinFactNeighborX="-19816">
        <dgm:presLayoutVars>
          <dgm:chMax val="1"/>
          <dgm:chPref val="1"/>
          <dgm:bulletEnabled val="1"/>
        </dgm:presLayoutVars>
      </dgm:prSet>
      <dgm:spPr/>
    </dgm:pt>
    <dgm:pt modelId="{FEDA8202-94DB-48E0-9F89-FDAC252494CB}" type="pres">
      <dgm:prSet presAssocID="{7DEB02D4-2CD9-403B-887F-18143FC33EDF}" presName="FinalChildText" presStyleLbl="revTx" presStyleIdx="1" presStyleCnt="2" custScaleX="149853" custLinFactNeighborX="1747">
        <dgm:presLayoutVars>
          <dgm:chMax val="0"/>
          <dgm:chPref val="0"/>
          <dgm:bulletEnabled val="1"/>
        </dgm:presLayoutVars>
      </dgm:prSet>
      <dgm:spPr/>
    </dgm:pt>
  </dgm:ptLst>
  <dgm:cxnLst>
    <dgm:cxn modelId="{35D0200C-C573-49CF-B453-955E81637A4C}" type="presOf" srcId="{CA903A42-A009-4F72-8BC6-9DD141BB282D}" destId="{70A312E2-ED89-4881-BC50-540DCB79D545}" srcOrd="0" destOrd="0" presId="urn:microsoft.com/office/officeart/2005/8/layout/StepDownProcess"/>
    <dgm:cxn modelId="{7E717D28-E7A8-4892-924B-DE6DE2B7B8CE}" type="presOf" srcId="{7CBF5620-09E0-46A2-8858-3CE5CA85630C}" destId="{8CB8EF60-C020-4647-B5EC-0535B39E8CAC}" srcOrd="0" destOrd="0" presId="urn:microsoft.com/office/officeart/2005/8/layout/StepDownProcess"/>
    <dgm:cxn modelId="{9ACBA642-2424-4237-816A-D32AA22DCD3F}" type="presOf" srcId="{F6D3A649-1C60-4B55-B606-CFE40DF72DF5}" destId="{02D75559-D361-43C2-960D-0DE64B2217E1}" srcOrd="0" destOrd="0" presId="urn:microsoft.com/office/officeart/2005/8/layout/StepDownProcess"/>
    <dgm:cxn modelId="{5ADE2143-DE57-4772-B7D8-FC7AC1CC4C82}" type="presOf" srcId="{7DEB02D4-2CD9-403B-887F-18143FC33EDF}" destId="{9621899D-0F5A-435B-840E-4641491BFF2E}" srcOrd="0" destOrd="0" presId="urn:microsoft.com/office/officeart/2005/8/layout/StepDownProcess"/>
    <dgm:cxn modelId="{E7657E4B-DBB7-444E-A111-D8D6CD990619}" srcId="{CA903A42-A009-4F72-8BC6-9DD141BB282D}" destId="{7DEB02D4-2CD9-403B-887F-18143FC33EDF}" srcOrd="1" destOrd="0" parTransId="{5F18CA3B-A88B-4314-B7DE-63E16D626930}" sibTransId="{3C77F7A5-5043-4E27-B9A5-9CFB096240E7}"/>
    <dgm:cxn modelId="{3EE7259E-ECF6-4CB5-9C4C-660581D9569F}" type="presOf" srcId="{F5AF6BFF-CD30-4A21-AB6B-207B401B2B79}" destId="{FEDA8202-94DB-48E0-9F89-FDAC252494CB}" srcOrd="0" destOrd="0" presId="urn:microsoft.com/office/officeart/2005/8/layout/StepDownProcess"/>
    <dgm:cxn modelId="{062732A4-5351-49C0-84A2-A243F20D584D}" srcId="{7CBF5620-09E0-46A2-8858-3CE5CA85630C}" destId="{F6D3A649-1C60-4B55-B606-CFE40DF72DF5}" srcOrd="0" destOrd="0" parTransId="{D5243493-EF89-4757-B391-CB17EECAF797}" sibTransId="{E35DE067-47FC-492E-BEE7-D46FDFA28324}"/>
    <dgm:cxn modelId="{A35F16C7-64CE-4519-899A-06BF6266D785}" srcId="{7DEB02D4-2CD9-403B-887F-18143FC33EDF}" destId="{F5AF6BFF-CD30-4A21-AB6B-207B401B2B79}" srcOrd="0" destOrd="0" parTransId="{A957C588-A1EA-4AA1-9A58-6FDD4CAC68FC}" sibTransId="{8BDB1C26-E169-4FE4-8072-4D0698AE6334}"/>
    <dgm:cxn modelId="{5D170FD6-8665-4F6E-B163-BF3EC675BE43}" srcId="{CA903A42-A009-4F72-8BC6-9DD141BB282D}" destId="{7CBF5620-09E0-46A2-8858-3CE5CA85630C}" srcOrd="0" destOrd="0" parTransId="{F1CEECC4-DB69-4B0B-9EBC-ED09D8A83D11}" sibTransId="{3C95FB23-AC91-4BDD-A5DF-1E2BBC84BF28}"/>
    <dgm:cxn modelId="{DDDB72A0-EC4F-4656-8065-72F562207FC4}" type="presParOf" srcId="{70A312E2-ED89-4881-BC50-540DCB79D545}" destId="{B540FA27-FC05-4F97-A5E4-C6C9894DDD59}" srcOrd="0" destOrd="0" presId="urn:microsoft.com/office/officeart/2005/8/layout/StepDownProcess"/>
    <dgm:cxn modelId="{912141A9-D00C-46F3-A7D6-CD9D2C4477C6}" type="presParOf" srcId="{B540FA27-FC05-4F97-A5E4-C6C9894DDD59}" destId="{C7FC639B-DBD0-4474-AA04-8D39CEEA37AD}" srcOrd="0" destOrd="0" presId="urn:microsoft.com/office/officeart/2005/8/layout/StepDownProcess"/>
    <dgm:cxn modelId="{3C62CCFC-95CC-4B44-A5CD-FD4BD54ED7FB}" type="presParOf" srcId="{B540FA27-FC05-4F97-A5E4-C6C9894DDD59}" destId="{8CB8EF60-C020-4647-B5EC-0535B39E8CAC}" srcOrd="1" destOrd="0" presId="urn:microsoft.com/office/officeart/2005/8/layout/StepDownProcess"/>
    <dgm:cxn modelId="{278FACFC-19B5-4AB1-984A-42D957CBE67E}" type="presParOf" srcId="{B540FA27-FC05-4F97-A5E4-C6C9894DDD59}" destId="{02D75559-D361-43C2-960D-0DE64B2217E1}" srcOrd="2" destOrd="0" presId="urn:microsoft.com/office/officeart/2005/8/layout/StepDownProcess"/>
    <dgm:cxn modelId="{AC622033-6281-4A1A-9663-63AAAAB4E8FF}" type="presParOf" srcId="{70A312E2-ED89-4881-BC50-540DCB79D545}" destId="{4660D17F-30F6-42C5-8EE6-35E146A86B60}" srcOrd="1" destOrd="0" presId="urn:microsoft.com/office/officeart/2005/8/layout/StepDownProcess"/>
    <dgm:cxn modelId="{9B8C9639-A655-487D-8DA6-131F9F4E3663}" type="presParOf" srcId="{70A312E2-ED89-4881-BC50-540DCB79D545}" destId="{79D90592-88B8-4FC4-85C7-8522F3A319D2}" srcOrd="2" destOrd="0" presId="urn:microsoft.com/office/officeart/2005/8/layout/StepDownProcess"/>
    <dgm:cxn modelId="{397AF56A-9A7A-453A-829F-47A1E623988F}" type="presParOf" srcId="{79D90592-88B8-4FC4-85C7-8522F3A319D2}" destId="{9621899D-0F5A-435B-840E-4641491BFF2E}" srcOrd="0" destOrd="0" presId="urn:microsoft.com/office/officeart/2005/8/layout/StepDownProcess"/>
    <dgm:cxn modelId="{BD8B51E8-8C00-401C-BC35-BCCD6C117A0C}" type="presParOf" srcId="{79D90592-88B8-4FC4-85C7-8522F3A319D2}" destId="{FEDA8202-94DB-48E0-9F89-FDAC252494CB}" srcOrd="1" destOrd="0" presId="urn:microsoft.com/office/officeart/2005/8/layout/StepDownProcess"/>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CA903A42-A009-4F72-8BC6-9DD141BB282D}" type="doc">
      <dgm:prSet loTypeId="urn:microsoft.com/office/officeart/2005/8/layout/StepDownProcess" loCatId="process" qsTypeId="urn:microsoft.com/office/officeart/2005/8/quickstyle/simple1" qsCatId="simple" csTypeId="urn:microsoft.com/office/officeart/2005/8/colors/colorful3" csCatId="colorful" phldr="1"/>
      <dgm:spPr/>
      <dgm:t>
        <a:bodyPr/>
        <a:lstStyle/>
        <a:p>
          <a:endParaRPr lang="en-US"/>
        </a:p>
      </dgm:t>
    </dgm:pt>
    <dgm:pt modelId="{7CBF5620-09E0-46A2-8858-3CE5CA85630C}">
      <dgm:prSet phldrT="[Text]" custT="1"/>
      <dgm:spPr/>
      <dgm:t>
        <a:bodyPr/>
        <a:lstStyle/>
        <a:p>
          <a:r>
            <a:rPr lang="en-US" sz="1500"/>
            <a:t>Products - </a:t>
          </a:r>
          <a:r>
            <a:rPr lang="en-US" sz="1400"/>
            <a:t>original data</a:t>
          </a:r>
        </a:p>
      </dgm:t>
    </dgm:pt>
    <dgm:pt modelId="{F1CEECC4-DB69-4B0B-9EBC-ED09D8A83D11}" type="parTrans" cxnId="{5D170FD6-8665-4F6E-B163-BF3EC675BE43}">
      <dgm:prSet/>
      <dgm:spPr/>
      <dgm:t>
        <a:bodyPr/>
        <a:lstStyle/>
        <a:p>
          <a:endParaRPr lang="en-US"/>
        </a:p>
      </dgm:t>
    </dgm:pt>
    <dgm:pt modelId="{3C95FB23-AC91-4BDD-A5DF-1E2BBC84BF28}" type="sibTrans" cxnId="{5D170FD6-8665-4F6E-B163-BF3EC675BE43}">
      <dgm:prSet/>
      <dgm:spPr/>
      <dgm:t>
        <a:bodyPr/>
        <a:lstStyle/>
        <a:p>
          <a:endParaRPr lang="en-US"/>
        </a:p>
      </dgm:t>
    </dgm:pt>
    <dgm:pt modelId="{F6D3A649-1C60-4B55-B606-CFE40DF72DF5}">
      <dgm:prSet phldrT="[Text]" custT="1"/>
      <dgm:spPr/>
      <dgm:t>
        <a:bodyPr/>
        <a:lstStyle/>
        <a:p>
          <a:r>
            <a:rPr lang="en-US" sz="1200">
              <a:solidFill>
                <a:schemeClr val="bg2">
                  <a:lumMod val="50000"/>
                </a:schemeClr>
              </a:solidFill>
            </a:rPr>
            <a:t>Total</a:t>
          </a:r>
          <a:r>
            <a:rPr lang="en-US" sz="1400">
              <a:solidFill>
                <a:schemeClr val="bg2">
                  <a:lumMod val="50000"/>
                </a:schemeClr>
              </a:solidFill>
            </a:rPr>
            <a:t>: 49693 rows  </a:t>
          </a:r>
          <a:endParaRPr lang="en-US" sz="1900">
            <a:solidFill>
              <a:schemeClr val="bg2">
                <a:lumMod val="50000"/>
              </a:schemeClr>
            </a:solidFill>
          </a:endParaRPr>
        </a:p>
      </dgm:t>
    </dgm:pt>
    <dgm:pt modelId="{D5243493-EF89-4757-B391-CB17EECAF797}" type="parTrans" cxnId="{062732A4-5351-49C0-84A2-A243F20D584D}">
      <dgm:prSet/>
      <dgm:spPr/>
      <dgm:t>
        <a:bodyPr/>
        <a:lstStyle/>
        <a:p>
          <a:endParaRPr lang="en-US"/>
        </a:p>
      </dgm:t>
    </dgm:pt>
    <dgm:pt modelId="{E35DE067-47FC-492E-BEE7-D46FDFA28324}" type="sibTrans" cxnId="{062732A4-5351-49C0-84A2-A243F20D584D}">
      <dgm:prSet/>
      <dgm:spPr/>
      <dgm:t>
        <a:bodyPr/>
        <a:lstStyle/>
        <a:p>
          <a:endParaRPr lang="en-US"/>
        </a:p>
      </dgm:t>
    </dgm:pt>
    <dgm:pt modelId="{7DEB02D4-2CD9-403B-887F-18143FC33EDF}">
      <dgm:prSet phldrT="[Text]" custT="1"/>
      <dgm:spPr/>
      <dgm:t>
        <a:bodyPr/>
        <a:lstStyle/>
        <a:p>
          <a:r>
            <a:rPr lang="en-US" sz="1500"/>
            <a:t>Products - </a:t>
          </a:r>
          <a:r>
            <a:rPr lang="en-US" sz="1200"/>
            <a:t>after consistency checks</a:t>
          </a:r>
        </a:p>
      </dgm:t>
    </dgm:pt>
    <dgm:pt modelId="{5F18CA3B-A88B-4314-B7DE-63E16D626930}" type="parTrans" cxnId="{E7657E4B-DBB7-444E-A111-D8D6CD990619}">
      <dgm:prSet/>
      <dgm:spPr/>
      <dgm:t>
        <a:bodyPr/>
        <a:lstStyle/>
        <a:p>
          <a:endParaRPr lang="en-US"/>
        </a:p>
      </dgm:t>
    </dgm:pt>
    <dgm:pt modelId="{3C77F7A5-5043-4E27-B9A5-9CFB096240E7}" type="sibTrans" cxnId="{E7657E4B-DBB7-444E-A111-D8D6CD990619}">
      <dgm:prSet/>
      <dgm:spPr/>
      <dgm:t>
        <a:bodyPr/>
        <a:lstStyle/>
        <a:p>
          <a:endParaRPr lang="en-US"/>
        </a:p>
      </dgm:t>
    </dgm:pt>
    <dgm:pt modelId="{F5AF6BFF-CD30-4A21-AB6B-207B401B2B79}">
      <dgm:prSet phldrT="[Text]" custT="1"/>
      <dgm:spPr/>
      <dgm:t>
        <a:bodyPr/>
        <a:lstStyle/>
        <a:p>
          <a:r>
            <a:rPr lang="en-US" sz="1200">
              <a:solidFill>
                <a:schemeClr val="bg2">
                  <a:lumMod val="50000"/>
                </a:schemeClr>
              </a:solidFill>
            </a:rPr>
            <a:t>Total: 49683 </a:t>
          </a:r>
        </a:p>
      </dgm:t>
    </dgm:pt>
    <dgm:pt modelId="{A957C588-A1EA-4AA1-9A58-6FDD4CAC68FC}" type="parTrans" cxnId="{A35F16C7-64CE-4519-899A-06BF6266D785}">
      <dgm:prSet/>
      <dgm:spPr/>
      <dgm:t>
        <a:bodyPr/>
        <a:lstStyle/>
        <a:p>
          <a:endParaRPr lang="en-US"/>
        </a:p>
      </dgm:t>
    </dgm:pt>
    <dgm:pt modelId="{8BDB1C26-E169-4FE4-8072-4D0698AE6334}" type="sibTrans" cxnId="{A35F16C7-64CE-4519-899A-06BF6266D785}">
      <dgm:prSet/>
      <dgm:spPr/>
      <dgm:t>
        <a:bodyPr/>
        <a:lstStyle/>
        <a:p>
          <a:endParaRPr lang="en-US"/>
        </a:p>
      </dgm:t>
    </dgm:pt>
    <dgm:pt modelId="{70A312E2-ED89-4881-BC50-540DCB79D545}" type="pres">
      <dgm:prSet presAssocID="{CA903A42-A009-4F72-8BC6-9DD141BB282D}" presName="rootnode" presStyleCnt="0">
        <dgm:presLayoutVars>
          <dgm:chMax/>
          <dgm:chPref/>
          <dgm:dir/>
          <dgm:animLvl val="lvl"/>
        </dgm:presLayoutVars>
      </dgm:prSet>
      <dgm:spPr/>
    </dgm:pt>
    <dgm:pt modelId="{B540FA27-FC05-4F97-A5E4-C6C9894DDD59}" type="pres">
      <dgm:prSet presAssocID="{7CBF5620-09E0-46A2-8858-3CE5CA85630C}" presName="composite" presStyleCnt="0"/>
      <dgm:spPr/>
    </dgm:pt>
    <dgm:pt modelId="{C7FC639B-DBD0-4474-AA04-8D39CEEA37AD}" type="pres">
      <dgm:prSet presAssocID="{7CBF5620-09E0-46A2-8858-3CE5CA85630C}" presName="bentUpArrow1" presStyleLbl="alignImgPlace1" presStyleIdx="0" presStyleCnt="1" custLinFactNeighborY="10619"/>
      <dgm:spPr/>
    </dgm:pt>
    <dgm:pt modelId="{8CB8EF60-C020-4647-B5EC-0535B39E8CAC}" type="pres">
      <dgm:prSet presAssocID="{7CBF5620-09E0-46A2-8858-3CE5CA85630C}" presName="ParentText" presStyleLbl="node1" presStyleIdx="0" presStyleCnt="2">
        <dgm:presLayoutVars>
          <dgm:chMax val="1"/>
          <dgm:chPref val="1"/>
          <dgm:bulletEnabled val="1"/>
        </dgm:presLayoutVars>
      </dgm:prSet>
      <dgm:spPr/>
    </dgm:pt>
    <dgm:pt modelId="{02D75559-D361-43C2-960D-0DE64B2217E1}" type="pres">
      <dgm:prSet presAssocID="{7CBF5620-09E0-46A2-8858-3CE5CA85630C}" presName="ChildText" presStyleLbl="revTx" presStyleIdx="0" presStyleCnt="2" custScaleX="193409" custLinFactNeighborX="48744" custLinFactNeighborY="-3481">
        <dgm:presLayoutVars>
          <dgm:chMax val="0"/>
          <dgm:chPref val="0"/>
          <dgm:bulletEnabled val="1"/>
        </dgm:presLayoutVars>
      </dgm:prSet>
      <dgm:spPr/>
    </dgm:pt>
    <dgm:pt modelId="{4660D17F-30F6-42C5-8EE6-35E146A86B60}" type="pres">
      <dgm:prSet presAssocID="{3C95FB23-AC91-4BDD-A5DF-1E2BBC84BF28}" presName="sibTrans" presStyleCnt="0"/>
      <dgm:spPr/>
    </dgm:pt>
    <dgm:pt modelId="{79D90592-88B8-4FC4-85C7-8522F3A319D2}" type="pres">
      <dgm:prSet presAssocID="{7DEB02D4-2CD9-403B-887F-18143FC33EDF}" presName="composite" presStyleCnt="0"/>
      <dgm:spPr/>
    </dgm:pt>
    <dgm:pt modelId="{9621899D-0F5A-435B-840E-4641491BFF2E}" type="pres">
      <dgm:prSet presAssocID="{7DEB02D4-2CD9-403B-887F-18143FC33EDF}" presName="ParentText" presStyleLbl="node1" presStyleIdx="1" presStyleCnt="2" custLinFactNeighborX="-13790">
        <dgm:presLayoutVars>
          <dgm:chMax val="1"/>
          <dgm:chPref val="1"/>
          <dgm:bulletEnabled val="1"/>
        </dgm:presLayoutVars>
      </dgm:prSet>
      <dgm:spPr/>
    </dgm:pt>
    <dgm:pt modelId="{FEDA8202-94DB-48E0-9F89-FDAC252494CB}" type="pres">
      <dgm:prSet presAssocID="{7DEB02D4-2CD9-403B-887F-18143FC33EDF}" presName="FinalChildText" presStyleLbl="revTx" presStyleIdx="1" presStyleCnt="2" custLinFactNeighborX="-16248">
        <dgm:presLayoutVars>
          <dgm:chMax val="0"/>
          <dgm:chPref val="0"/>
          <dgm:bulletEnabled val="1"/>
        </dgm:presLayoutVars>
      </dgm:prSet>
      <dgm:spPr/>
    </dgm:pt>
  </dgm:ptLst>
  <dgm:cxnLst>
    <dgm:cxn modelId="{E7657E4B-DBB7-444E-A111-D8D6CD990619}" srcId="{CA903A42-A009-4F72-8BC6-9DD141BB282D}" destId="{7DEB02D4-2CD9-403B-887F-18143FC33EDF}" srcOrd="1" destOrd="0" parTransId="{5F18CA3B-A88B-4314-B7DE-63E16D626930}" sibTransId="{3C77F7A5-5043-4E27-B9A5-9CFB096240E7}"/>
    <dgm:cxn modelId="{DB17E753-839B-4AF9-9E26-223104FAC8DC}" type="presOf" srcId="{7DEB02D4-2CD9-403B-887F-18143FC33EDF}" destId="{9621899D-0F5A-435B-840E-4641491BFF2E}" srcOrd="0" destOrd="0" presId="urn:microsoft.com/office/officeart/2005/8/layout/StepDownProcess"/>
    <dgm:cxn modelId="{062732A4-5351-49C0-84A2-A243F20D584D}" srcId="{7CBF5620-09E0-46A2-8858-3CE5CA85630C}" destId="{F6D3A649-1C60-4B55-B606-CFE40DF72DF5}" srcOrd="0" destOrd="0" parTransId="{D5243493-EF89-4757-B391-CB17EECAF797}" sibTransId="{E35DE067-47FC-492E-BEE7-D46FDFA28324}"/>
    <dgm:cxn modelId="{9E3405AA-C5B0-4B36-AC98-E8FA014414D4}" type="presOf" srcId="{CA903A42-A009-4F72-8BC6-9DD141BB282D}" destId="{70A312E2-ED89-4881-BC50-540DCB79D545}" srcOrd="0" destOrd="0" presId="urn:microsoft.com/office/officeart/2005/8/layout/StepDownProcess"/>
    <dgm:cxn modelId="{A35F16C7-64CE-4519-899A-06BF6266D785}" srcId="{7DEB02D4-2CD9-403B-887F-18143FC33EDF}" destId="{F5AF6BFF-CD30-4A21-AB6B-207B401B2B79}" srcOrd="0" destOrd="0" parTransId="{A957C588-A1EA-4AA1-9A58-6FDD4CAC68FC}" sibTransId="{8BDB1C26-E169-4FE4-8072-4D0698AE6334}"/>
    <dgm:cxn modelId="{61C08DD5-DDE1-4B00-ABA3-40FFC948FC26}" type="presOf" srcId="{7CBF5620-09E0-46A2-8858-3CE5CA85630C}" destId="{8CB8EF60-C020-4647-B5EC-0535B39E8CAC}" srcOrd="0" destOrd="0" presId="urn:microsoft.com/office/officeart/2005/8/layout/StepDownProcess"/>
    <dgm:cxn modelId="{5D170FD6-8665-4F6E-B163-BF3EC675BE43}" srcId="{CA903A42-A009-4F72-8BC6-9DD141BB282D}" destId="{7CBF5620-09E0-46A2-8858-3CE5CA85630C}" srcOrd="0" destOrd="0" parTransId="{F1CEECC4-DB69-4B0B-9EBC-ED09D8A83D11}" sibTransId="{3C95FB23-AC91-4BDD-A5DF-1E2BBC84BF28}"/>
    <dgm:cxn modelId="{EB2EC9EB-FE97-4566-9CEB-A663007C66CA}" type="presOf" srcId="{F5AF6BFF-CD30-4A21-AB6B-207B401B2B79}" destId="{FEDA8202-94DB-48E0-9F89-FDAC252494CB}" srcOrd="0" destOrd="0" presId="urn:microsoft.com/office/officeart/2005/8/layout/StepDownProcess"/>
    <dgm:cxn modelId="{E37CBEEC-0F58-4D38-BD4A-476987B9703C}" type="presOf" srcId="{F6D3A649-1C60-4B55-B606-CFE40DF72DF5}" destId="{02D75559-D361-43C2-960D-0DE64B2217E1}" srcOrd="0" destOrd="0" presId="urn:microsoft.com/office/officeart/2005/8/layout/StepDownProcess"/>
    <dgm:cxn modelId="{9639FDD7-0F42-4EC0-886F-56EF3926677C}" type="presParOf" srcId="{70A312E2-ED89-4881-BC50-540DCB79D545}" destId="{B540FA27-FC05-4F97-A5E4-C6C9894DDD59}" srcOrd="0" destOrd="0" presId="urn:microsoft.com/office/officeart/2005/8/layout/StepDownProcess"/>
    <dgm:cxn modelId="{92F6E9F5-EFC0-41C1-923A-CE86FC5A455C}" type="presParOf" srcId="{B540FA27-FC05-4F97-A5E4-C6C9894DDD59}" destId="{C7FC639B-DBD0-4474-AA04-8D39CEEA37AD}" srcOrd="0" destOrd="0" presId="urn:microsoft.com/office/officeart/2005/8/layout/StepDownProcess"/>
    <dgm:cxn modelId="{6BE2F8F6-6319-4790-9B14-C9695875E84E}" type="presParOf" srcId="{B540FA27-FC05-4F97-A5E4-C6C9894DDD59}" destId="{8CB8EF60-C020-4647-B5EC-0535B39E8CAC}" srcOrd="1" destOrd="0" presId="urn:microsoft.com/office/officeart/2005/8/layout/StepDownProcess"/>
    <dgm:cxn modelId="{A6D82857-E68B-4228-B5D8-1757AB492A2C}" type="presParOf" srcId="{B540FA27-FC05-4F97-A5E4-C6C9894DDD59}" destId="{02D75559-D361-43C2-960D-0DE64B2217E1}" srcOrd="2" destOrd="0" presId="urn:microsoft.com/office/officeart/2005/8/layout/StepDownProcess"/>
    <dgm:cxn modelId="{2652D10E-8FD7-46C1-8215-D5026D0B1CEA}" type="presParOf" srcId="{70A312E2-ED89-4881-BC50-540DCB79D545}" destId="{4660D17F-30F6-42C5-8EE6-35E146A86B60}" srcOrd="1" destOrd="0" presId="urn:microsoft.com/office/officeart/2005/8/layout/StepDownProcess"/>
    <dgm:cxn modelId="{BAE538F7-B967-4AB1-AAEA-6A2763B0BCF6}" type="presParOf" srcId="{70A312E2-ED89-4881-BC50-540DCB79D545}" destId="{79D90592-88B8-4FC4-85C7-8522F3A319D2}" srcOrd="2" destOrd="0" presId="urn:microsoft.com/office/officeart/2005/8/layout/StepDownProcess"/>
    <dgm:cxn modelId="{704D2DD1-93F1-446A-A929-22004C69AA35}" type="presParOf" srcId="{79D90592-88B8-4FC4-85C7-8522F3A319D2}" destId="{9621899D-0F5A-435B-840E-4641491BFF2E}" srcOrd="0" destOrd="0" presId="urn:microsoft.com/office/officeart/2005/8/layout/StepDownProcess"/>
    <dgm:cxn modelId="{919BF84A-8F89-4B4E-BCAC-33240E9FD16F}" type="presParOf" srcId="{79D90592-88B8-4FC4-85C7-8522F3A319D2}" destId="{FEDA8202-94DB-48E0-9F89-FDAC252494CB}" srcOrd="1" destOrd="0" presId="urn:microsoft.com/office/officeart/2005/8/layout/StepDownProcess"/>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CA903A42-A009-4F72-8BC6-9DD141BB282D}" type="doc">
      <dgm:prSet loTypeId="urn:microsoft.com/office/officeart/2005/8/layout/StepDownProcess" loCatId="process" qsTypeId="urn:microsoft.com/office/officeart/2005/8/quickstyle/simple1" qsCatId="simple" csTypeId="urn:microsoft.com/office/officeart/2005/8/colors/colorful3" csCatId="colorful" phldr="1"/>
      <dgm:spPr/>
      <dgm:t>
        <a:bodyPr/>
        <a:lstStyle/>
        <a:p>
          <a:endParaRPr lang="en-US"/>
        </a:p>
      </dgm:t>
    </dgm:pt>
    <dgm:pt modelId="{7CBF5620-09E0-46A2-8858-3CE5CA85630C}">
      <dgm:prSet phldrT="[Text]" custT="1"/>
      <dgm:spPr/>
      <dgm:t>
        <a:bodyPr/>
        <a:lstStyle/>
        <a:p>
          <a:r>
            <a:rPr lang="en-US" sz="1500"/>
            <a:t>orders_products_prior - </a:t>
          </a:r>
          <a:r>
            <a:rPr lang="en-US" sz="1400"/>
            <a:t>original data</a:t>
          </a:r>
        </a:p>
      </dgm:t>
    </dgm:pt>
    <dgm:pt modelId="{F1CEECC4-DB69-4B0B-9EBC-ED09D8A83D11}" type="parTrans" cxnId="{5D170FD6-8665-4F6E-B163-BF3EC675BE43}">
      <dgm:prSet/>
      <dgm:spPr/>
      <dgm:t>
        <a:bodyPr/>
        <a:lstStyle/>
        <a:p>
          <a:endParaRPr lang="en-US"/>
        </a:p>
      </dgm:t>
    </dgm:pt>
    <dgm:pt modelId="{3C95FB23-AC91-4BDD-A5DF-1E2BBC84BF28}" type="sibTrans" cxnId="{5D170FD6-8665-4F6E-B163-BF3EC675BE43}">
      <dgm:prSet/>
      <dgm:spPr/>
      <dgm:t>
        <a:bodyPr/>
        <a:lstStyle/>
        <a:p>
          <a:endParaRPr lang="en-US"/>
        </a:p>
      </dgm:t>
    </dgm:pt>
    <dgm:pt modelId="{F6D3A649-1C60-4B55-B606-CFE40DF72DF5}">
      <dgm:prSet phldrT="[Text]" custT="1"/>
      <dgm:spPr/>
      <dgm:t>
        <a:bodyPr/>
        <a:lstStyle/>
        <a:p>
          <a:r>
            <a:rPr lang="en-US" sz="1200">
              <a:solidFill>
                <a:schemeClr val="bg2">
                  <a:lumMod val="50000"/>
                </a:schemeClr>
              </a:solidFill>
            </a:rPr>
            <a:t>Total</a:t>
          </a:r>
          <a:r>
            <a:rPr lang="en-US" sz="1400">
              <a:solidFill>
                <a:schemeClr val="bg2">
                  <a:lumMod val="50000"/>
                </a:schemeClr>
              </a:solidFill>
            </a:rPr>
            <a:t>: 32434489 </a:t>
          </a:r>
          <a:endParaRPr lang="en-US" sz="1900">
            <a:solidFill>
              <a:schemeClr val="bg2">
                <a:lumMod val="50000"/>
              </a:schemeClr>
            </a:solidFill>
          </a:endParaRPr>
        </a:p>
      </dgm:t>
    </dgm:pt>
    <dgm:pt modelId="{D5243493-EF89-4757-B391-CB17EECAF797}" type="parTrans" cxnId="{062732A4-5351-49C0-84A2-A243F20D584D}">
      <dgm:prSet/>
      <dgm:spPr/>
      <dgm:t>
        <a:bodyPr/>
        <a:lstStyle/>
        <a:p>
          <a:endParaRPr lang="en-US"/>
        </a:p>
      </dgm:t>
    </dgm:pt>
    <dgm:pt modelId="{E35DE067-47FC-492E-BEE7-D46FDFA28324}" type="sibTrans" cxnId="{062732A4-5351-49C0-84A2-A243F20D584D}">
      <dgm:prSet/>
      <dgm:spPr/>
      <dgm:t>
        <a:bodyPr/>
        <a:lstStyle/>
        <a:p>
          <a:endParaRPr lang="en-US"/>
        </a:p>
      </dgm:t>
    </dgm:pt>
    <dgm:pt modelId="{7DEB02D4-2CD9-403B-887F-18143FC33EDF}">
      <dgm:prSet phldrT="[Text]" custT="1"/>
      <dgm:spPr>
        <a:solidFill>
          <a:schemeClr val="accent6">
            <a:lumMod val="75000"/>
          </a:schemeClr>
        </a:solidFill>
      </dgm:spPr>
      <dgm:t>
        <a:bodyPr/>
        <a:lstStyle/>
        <a:p>
          <a:r>
            <a:rPr lang="en-US" sz="1500"/>
            <a:t>orders_products_prior - </a:t>
          </a:r>
          <a:r>
            <a:rPr lang="en-US" sz="1200"/>
            <a:t>after consistency checks</a:t>
          </a:r>
        </a:p>
      </dgm:t>
    </dgm:pt>
    <dgm:pt modelId="{5F18CA3B-A88B-4314-B7DE-63E16D626930}" type="parTrans" cxnId="{E7657E4B-DBB7-444E-A111-D8D6CD990619}">
      <dgm:prSet/>
      <dgm:spPr/>
      <dgm:t>
        <a:bodyPr/>
        <a:lstStyle/>
        <a:p>
          <a:endParaRPr lang="en-US"/>
        </a:p>
      </dgm:t>
    </dgm:pt>
    <dgm:pt modelId="{3C77F7A5-5043-4E27-B9A5-9CFB096240E7}" type="sibTrans" cxnId="{E7657E4B-DBB7-444E-A111-D8D6CD990619}">
      <dgm:prSet/>
      <dgm:spPr/>
      <dgm:t>
        <a:bodyPr/>
        <a:lstStyle/>
        <a:p>
          <a:endParaRPr lang="en-US"/>
        </a:p>
      </dgm:t>
    </dgm:pt>
    <dgm:pt modelId="{F5AF6BFF-CD30-4A21-AB6B-207B401B2B79}">
      <dgm:prSet phldrT="[Text]" custT="1"/>
      <dgm:spPr/>
      <dgm:t>
        <a:bodyPr/>
        <a:lstStyle/>
        <a:p>
          <a:r>
            <a:rPr lang="en-US" sz="1200">
              <a:solidFill>
                <a:schemeClr val="bg2">
                  <a:lumMod val="50000"/>
                </a:schemeClr>
              </a:solidFill>
            </a:rPr>
            <a:t>Total:</a:t>
          </a:r>
        </a:p>
      </dgm:t>
    </dgm:pt>
    <dgm:pt modelId="{A957C588-A1EA-4AA1-9A58-6FDD4CAC68FC}" type="parTrans" cxnId="{A35F16C7-64CE-4519-899A-06BF6266D785}">
      <dgm:prSet/>
      <dgm:spPr/>
      <dgm:t>
        <a:bodyPr/>
        <a:lstStyle/>
        <a:p>
          <a:endParaRPr lang="en-US"/>
        </a:p>
      </dgm:t>
    </dgm:pt>
    <dgm:pt modelId="{8BDB1C26-E169-4FE4-8072-4D0698AE6334}" type="sibTrans" cxnId="{A35F16C7-64CE-4519-899A-06BF6266D785}">
      <dgm:prSet/>
      <dgm:spPr/>
      <dgm:t>
        <a:bodyPr/>
        <a:lstStyle/>
        <a:p>
          <a:endParaRPr lang="en-US"/>
        </a:p>
      </dgm:t>
    </dgm:pt>
    <dgm:pt modelId="{DB634636-CE8C-4E6E-9CE0-0D17ABADED1C}">
      <dgm:prSet phldrT="[Text]" custT="1"/>
      <dgm:spPr/>
      <dgm:t>
        <a:bodyPr/>
        <a:lstStyle/>
        <a:p>
          <a:r>
            <a:rPr lang="en-US" sz="1200">
              <a:solidFill>
                <a:schemeClr val="bg2">
                  <a:lumMod val="50000"/>
                </a:schemeClr>
              </a:solidFill>
            </a:rPr>
            <a:t>32434489 </a:t>
          </a:r>
        </a:p>
      </dgm:t>
    </dgm:pt>
    <dgm:pt modelId="{A932D449-85BD-45DD-8FEE-1AE8A431408F}" type="parTrans" cxnId="{D831C9E0-AF80-4617-97BF-2E837DB8AEE5}">
      <dgm:prSet/>
      <dgm:spPr/>
    </dgm:pt>
    <dgm:pt modelId="{BCD03990-AD06-4327-90BC-AB4E22CF8DB3}" type="sibTrans" cxnId="{D831C9E0-AF80-4617-97BF-2E837DB8AEE5}">
      <dgm:prSet/>
      <dgm:spPr/>
    </dgm:pt>
    <dgm:pt modelId="{70A312E2-ED89-4881-BC50-540DCB79D545}" type="pres">
      <dgm:prSet presAssocID="{CA903A42-A009-4F72-8BC6-9DD141BB282D}" presName="rootnode" presStyleCnt="0">
        <dgm:presLayoutVars>
          <dgm:chMax/>
          <dgm:chPref/>
          <dgm:dir/>
          <dgm:animLvl val="lvl"/>
        </dgm:presLayoutVars>
      </dgm:prSet>
      <dgm:spPr/>
    </dgm:pt>
    <dgm:pt modelId="{B540FA27-FC05-4F97-A5E4-C6C9894DDD59}" type="pres">
      <dgm:prSet presAssocID="{7CBF5620-09E0-46A2-8858-3CE5CA85630C}" presName="composite" presStyleCnt="0"/>
      <dgm:spPr/>
    </dgm:pt>
    <dgm:pt modelId="{C7FC639B-DBD0-4474-AA04-8D39CEEA37AD}" type="pres">
      <dgm:prSet presAssocID="{7CBF5620-09E0-46A2-8858-3CE5CA85630C}" presName="bentUpArrow1" presStyleLbl="alignImgPlace1" presStyleIdx="0" presStyleCnt="1" custScaleX="58621" custScaleY="96548" custLinFactNeighborX="-47782" custLinFactNeighborY="-20808"/>
      <dgm:spPr/>
    </dgm:pt>
    <dgm:pt modelId="{8CB8EF60-C020-4647-B5EC-0535B39E8CAC}" type="pres">
      <dgm:prSet presAssocID="{7CBF5620-09E0-46A2-8858-3CE5CA85630C}" presName="ParentText" presStyleLbl="node1" presStyleIdx="0" presStyleCnt="2" custScaleX="142198" custScaleY="54415" custLinFactNeighborX="4098">
        <dgm:presLayoutVars>
          <dgm:chMax val="1"/>
          <dgm:chPref val="1"/>
          <dgm:bulletEnabled val="1"/>
        </dgm:presLayoutVars>
      </dgm:prSet>
      <dgm:spPr/>
    </dgm:pt>
    <dgm:pt modelId="{02D75559-D361-43C2-960D-0DE64B2217E1}" type="pres">
      <dgm:prSet presAssocID="{7CBF5620-09E0-46A2-8858-3CE5CA85630C}" presName="ChildText" presStyleLbl="revTx" presStyleIdx="0" presStyleCnt="2" custLinFactNeighborX="34557" custLinFactNeighborY="-3937">
        <dgm:presLayoutVars>
          <dgm:chMax val="0"/>
          <dgm:chPref val="0"/>
          <dgm:bulletEnabled val="1"/>
        </dgm:presLayoutVars>
      </dgm:prSet>
      <dgm:spPr/>
    </dgm:pt>
    <dgm:pt modelId="{4660D17F-30F6-42C5-8EE6-35E146A86B60}" type="pres">
      <dgm:prSet presAssocID="{3C95FB23-AC91-4BDD-A5DF-1E2BBC84BF28}" presName="sibTrans" presStyleCnt="0"/>
      <dgm:spPr/>
    </dgm:pt>
    <dgm:pt modelId="{79D90592-88B8-4FC4-85C7-8522F3A319D2}" type="pres">
      <dgm:prSet presAssocID="{7DEB02D4-2CD9-403B-887F-18143FC33EDF}" presName="composite" presStyleCnt="0"/>
      <dgm:spPr/>
    </dgm:pt>
    <dgm:pt modelId="{9621899D-0F5A-435B-840E-4641491BFF2E}" type="pres">
      <dgm:prSet presAssocID="{7DEB02D4-2CD9-403B-887F-18143FC33EDF}" presName="ParentText" presStyleLbl="node1" presStyleIdx="1" presStyleCnt="2" custScaleX="145057" custScaleY="65868" custLinFactNeighborX="-34140" custLinFactNeighborY="-4010">
        <dgm:presLayoutVars>
          <dgm:chMax val="1"/>
          <dgm:chPref val="1"/>
          <dgm:bulletEnabled val="1"/>
        </dgm:presLayoutVars>
      </dgm:prSet>
      <dgm:spPr/>
    </dgm:pt>
    <dgm:pt modelId="{FEDA8202-94DB-48E0-9F89-FDAC252494CB}" type="pres">
      <dgm:prSet presAssocID="{7DEB02D4-2CD9-403B-887F-18143FC33EDF}" presName="FinalChildText" presStyleLbl="revTx" presStyleIdx="1" presStyleCnt="2" custScaleX="108617" custLinFactNeighborX="-5838" custLinFactNeighborY="-5372">
        <dgm:presLayoutVars>
          <dgm:chMax val="0"/>
          <dgm:chPref val="0"/>
          <dgm:bulletEnabled val="1"/>
        </dgm:presLayoutVars>
      </dgm:prSet>
      <dgm:spPr/>
    </dgm:pt>
  </dgm:ptLst>
  <dgm:cxnLst>
    <dgm:cxn modelId="{F41D8A24-372B-4B39-A61E-C166CF0A8D15}" type="presOf" srcId="{F5AF6BFF-CD30-4A21-AB6B-207B401B2B79}" destId="{FEDA8202-94DB-48E0-9F89-FDAC252494CB}" srcOrd="0" destOrd="0" presId="urn:microsoft.com/office/officeart/2005/8/layout/StepDownProcess"/>
    <dgm:cxn modelId="{E7657E4B-DBB7-444E-A111-D8D6CD990619}" srcId="{CA903A42-A009-4F72-8BC6-9DD141BB282D}" destId="{7DEB02D4-2CD9-403B-887F-18143FC33EDF}" srcOrd="1" destOrd="0" parTransId="{5F18CA3B-A88B-4314-B7DE-63E16D626930}" sibTransId="{3C77F7A5-5043-4E27-B9A5-9CFB096240E7}"/>
    <dgm:cxn modelId="{EF515175-8424-4188-BC55-A13A31D0CECA}" type="presOf" srcId="{CA903A42-A009-4F72-8BC6-9DD141BB282D}" destId="{70A312E2-ED89-4881-BC50-540DCB79D545}" srcOrd="0" destOrd="0" presId="urn:microsoft.com/office/officeart/2005/8/layout/StepDownProcess"/>
    <dgm:cxn modelId="{4525C159-0BA5-4D62-BAE1-6F76F36729AC}" type="presOf" srcId="{DB634636-CE8C-4E6E-9CE0-0D17ABADED1C}" destId="{FEDA8202-94DB-48E0-9F89-FDAC252494CB}" srcOrd="0" destOrd="1" presId="urn:microsoft.com/office/officeart/2005/8/layout/StepDownProcess"/>
    <dgm:cxn modelId="{1C843983-CAC3-4FEC-8657-9BF6861E4D60}" type="presOf" srcId="{7CBF5620-09E0-46A2-8858-3CE5CA85630C}" destId="{8CB8EF60-C020-4647-B5EC-0535B39E8CAC}" srcOrd="0" destOrd="0" presId="urn:microsoft.com/office/officeart/2005/8/layout/StepDownProcess"/>
    <dgm:cxn modelId="{B7EBB792-263C-4629-9AAA-2A68AB9F2015}" type="presOf" srcId="{7DEB02D4-2CD9-403B-887F-18143FC33EDF}" destId="{9621899D-0F5A-435B-840E-4641491BFF2E}" srcOrd="0" destOrd="0" presId="urn:microsoft.com/office/officeart/2005/8/layout/StepDownProcess"/>
    <dgm:cxn modelId="{062732A4-5351-49C0-84A2-A243F20D584D}" srcId="{7CBF5620-09E0-46A2-8858-3CE5CA85630C}" destId="{F6D3A649-1C60-4B55-B606-CFE40DF72DF5}" srcOrd="0" destOrd="0" parTransId="{D5243493-EF89-4757-B391-CB17EECAF797}" sibTransId="{E35DE067-47FC-492E-BEE7-D46FDFA28324}"/>
    <dgm:cxn modelId="{79B925AF-90AD-4E64-8E34-3566ABAF1C90}" type="presOf" srcId="{F6D3A649-1C60-4B55-B606-CFE40DF72DF5}" destId="{02D75559-D361-43C2-960D-0DE64B2217E1}" srcOrd="0" destOrd="0" presId="urn:microsoft.com/office/officeart/2005/8/layout/StepDownProcess"/>
    <dgm:cxn modelId="{A35F16C7-64CE-4519-899A-06BF6266D785}" srcId="{7DEB02D4-2CD9-403B-887F-18143FC33EDF}" destId="{F5AF6BFF-CD30-4A21-AB6B-207B401B2B79}" srcOrd="0" destOrd="0" parTransId="{A957C588-A1EA-4AA1-9A58-6FDD4CAC68FC}" sibTransId="{8BDB1C26-E169-4FE4-8072-4D0698AE6334}"/>
    <dgm:cxn modelId="{5D170FD6-8665-4F6E-B163-BF3EC675BE43}" srcId="{CA903A42-A009-4F72-8BC6-9DD141BB282D}" destId="{7CBF5620-09E0-46A2-8858-3CE5CA85630C}" srcOrd="0" destOrd="0" parTransId="{F1CEECC4-DB69-4B0B-9EBC-ED09D8A83D11}" sibTransId="{3C95FB23-AC91-4BDD-A5DF-1E2BBC84BF28}"/>
    <dgm:cxn modelId="{D831C9E0-AF80-4617-97BF-2E837DB8AEE5}" srcId="{7DEB02D4-2CD9-403B-887F-18143FC33EDF}" destId="{DB634636-CE8C-4E6E-9CE0-0D17ABADED1C}" srcOrd="1" destOrd="0" parTransId="{A932D449-85BD-45DD-8FEE-1AE8A431408F}" sibTransId="{BCD03990-AD06-4327-90BC-AB4E22CF8DB3}"/>
    <dgm:cxn modelId="{3B83903E-C7B0-4042-A204-1A63120ABD26}" type="presParOf" srcId="{70A312E2-ED89-4881-BC50-540DCB79D545}" destId="{B540FA27-FC05-4F97-A5E4-C6C9894DDD59}" srcOrd="0" destOrd="0" presId="urn:microsoft.com/office/officeart/2005/8/layout/StepDownProcess"/>
    <dgm:cxn modelId="{8759603A-FD5B-4F46-8640-537084B05514}" type="presParOf" srcId="{B540FA27-FC05-4F97-A5E4-C6C9894DDD59}" destId="{C7FC639B-DBD0-4474-AA04-8D39CEEA37AD}" srcOrd="0" destOrd="0" presId="urn:microsoft.com/office/officeart/2005/8/layout/StepDownProcess"/>
    <dgm:cxn modelId="{7062EAD7-ACD4-4300-BAE1-87B50BC50384}" type="presParOf" srcId="{B540FA27-FC05-4F97-A5E4-C6C9894DDD59}" destId="{8CB8EF60-C020-4647-B5EC-0535B39E8CAC}" srcOrd="1" destOrd="0" presId="urn:microsoft.com/office/officeart/2005/8/layout/StepDownProcess"/>
    <dgm:cxn modelId="{294AF97F-4BF2-411C-9058-D99ACE294F1C}" type="presParOf" srcId="{B540FA27-FC05-4F97-A5E4-C6C9894DDD59}" destId="{02D75559-D361-43C2-960D-0DE64B2217E1}" srcOrd="2" destOrd="0" presId="urn:microsoft.com/office/officeart/2005/8/layout/StepDownProcess"/>
    <dgm:cxn modelId="{8929570E-30E2-4E28-A468-8CA95307D64E}" type="presParOf" srcId="{70A312E2-ED89-4881-BC50-540DCB79D545}" destId="{4660D17F-30F6-42C5-8EE6-35E146A86B60}" srcOrd="1" destOrd="0" presId="urn:microsoft.com/office/officeart/2005/8/layout/StepDownProcess"/>
    <dgm:cxn modelId="{1F49D7E0-B776-4A06-9F4C-27BFF591DE99}" type="presParOf" srcId="{70A312E2-ED89-4881-BC50-540DCB79D545}" destId="{79D90592-88B8-4FC4-85C7-8522F3A319D2}" srcOrd="2" destOrd="0" presId="urn:microsoft.com/office/officeart/2005/8/layout/StepDownProcess"/>
    <dgm:cxn modelId="{57C8137F-B61A-4FAC-B91C-7907586B74EA}" type="presParOf" srcId="{79D90592-88B8-4FC4-85C7-8522F3A319D2}" destId="{9621899D-0F5A-435B-840E-4641491BFF2E}" srcOrd="0" destOrd="0" presId="urn:microsoft.com/office/officeart/2005/8/layout/StepDownProcess"/>
    <dgm:cxn modelId="{8642D1E1-CE08-402B-9F1A-ADBFE65EB69D}" type="presParOf" srcId="{79D90592-88B8-4FC4-85C7-8522F3A319D2}" destId="{FEDA8202-94DB-48E0-9F89-FDAC252494CB}" srcOrd="1" destOrd="0" presId="urn:microsoft.com/office/officeart/2005/8/layout/StepDownProcess"/>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CA903A42-A009-4F72-8BC6-9DD141BB282D}" type="doc">
      <dgm:prSet loTypeId="urn:microsoft.com/office/officeart/2005/8/layout/StepDownProcess" loCatId="process" qsTypeId="urn:microsoft.com/office/officeart/2005/8/quickstyle/simple1" qsCatId="simple" csTypeId="urn:microsoft.com/office/officeart/2005/8/colors/accent1_2" csCatId="accent1" phldr="1"/>
      <dgm:spPr/>
      <dgm:t>
        <a:bodyPr/>
        <a:lstStyle/>
        <a:p>
          <a:endParaRPr lang="en-US"/>
        </a:p>
      </dgm:t>
    </dgm:pt>
    <dgm:pt modelId="{7CBF5620-09E0-46A2-8858-3CE5CA85630C}">
      <dgm:prSet phldrT="[Text]" custT="1"/>
      <dgm:spPr>
        <a:solidFill>
          <a:schemeClr val="bg1">
            <a:lumMod val="65000"/>
          </a:schemeClr>
        </a:solidFill>
      </dgm:spPr>
      <dgm:t>
        <a:bodyPr/>
        <a:lstStyle/>
        <a:p>
          <a:r>
            <a:rPr lang="en-US" sz="1500"/>
            <a:t>Customers - </a:t>
          </a:r>
          <a:r>
            <a:rPr lang="en-US" sz="1400"/>
            <a:t>original data</a:t>
          </a:r>
        </a:p>
      </dgm:t>
    </dgm:pt>
    <dgm:pt modelId="{F1CEECC4-DB69-4B0B-9EBC-ED09D8A83D11}" type="parTrans" cxnId="{5D170FD6-8665-4F6E-B163-BF3EC675BE43}">
      <dgm:prSet/>
      <dgm:spPr/>
      <dgm:t>
        <a:bodyPr/>
        <a:lstStyle/>
        <a:p>
          <a:endParaRPr lang="en-US"/>
        </a:p>
      </dgm:t>
    </dgm:pt>
    <dgm:pt modelId="{3C95FB23-AC91-4BDD-A5DF-1E2BBC84BF28}" type="sibTrans" cxnId="{5D170FD6-8665-4F6E-B163-BF3EC675BE43}">
      <dgm:prSet/>
      <dgm:spPr/>
      <dgm:t>
        <a:bodyPr/>
        <a:lstStyle/>
        <a:p>
          <a:endParaRPr lang="en-US"/>
        </a:p>
      </dgm:t>
    </dgm:pt>
    <dgm:pt modelId="{F6D3A649-1C60-4B55-B606-CFE40DF72DF5}">
      <dgm:prSet phldrT="[Text]" custT="1"/>
      <dgm:spPr/>
      <dgm:t>
        <a:bodyPr/>
        <a:lstStyle/>
        <a:p>
          <a:r>
            <a:rPr lang="en-US" sz="1200">
              <a:solidFill>
                <a:schemeClr val="bg2">
                  <a:lumMod val="50000"/>
                </a:schemeClr>
              </a:solidFill>
            </a:rPr>
            <a:t>Total</a:t>
          </a:r>
          <a:r>
            <a:rPr lang="en-US" sz="1400">
              <a:solidFill>
                <a:schemeClr val="bg2">
                  <a:lumMod val="50000"/>
                </a:schemeClr>
              </a:solidFill>
            </a:rPr>
            <a:t>: 206209 </a:t>
          </a:r>
        </a:p>
      </dgm:t>
    </dgm:pt>
    <dgm:pt modelId="{D5243493-EF89-4757-B391-CB17EECAF797}" type="parTrans" cxnId="{062732A4-5351-49C0-84A2-A243F20D584D}">
      <dgm:prSet/>
      <dgm:spPr/>
      <dgm:t>
        <a:bodyPr/>
        <a:lstStyle/>
        <a:p>
          <a:endParaRPr lang="en-US"/>
        </a:p>
      </dgm:t>
    </dgm:pt>
    <dgm:pt modelId="{E35DE067-47FC-492E-BEE7-D46FDFA28324}" type="sibTrans" cxnId="{062732A4-5351-49C0-84A2-A243F20D584D}">
      <dgm:prSet/>
      <dgm:spPr/>
      <dgm:t>
        <a:bodyPr/>
        <a:lstStyle/>
        <a:p>
          <a:endParaRPr lang="en-US"/>
        </a:p>
      </dgm:t>
    </dgm:pt>
    <dgm:pt modelId="{7DEB02D4-2CD9-403B-887F-18143FC33EDF}">
      <dgm:prSet phldrT="[Text]" custT="1"/>
      <dgm:spPr>
        <a:solidFill>
          <a:schemeClr val="accent4">
            <a:lumMod val="75000"/>
          </a:schemeClr>
        </a:solidFill>
      </dgm:spPr>
      <dgm:t>
        <a:bodyPr/>
        <a:lstStyle/>
        <a:p>
          <a:r>
            <a:rPr lang="en-US" sz="1500"/>
            <a:t>Customers - </a:t>
          </a:r>
          <a:r>
            <a:rPr lang="en-US" sz="1200"/>
            <a:t>after consistency checks</a:t>
          </a:r>
        </a:p>
      </dgm:t>
    </dgm:pt>
    <dgm:pt modelId="{5F18CA3B-A88B-4314-B7DE-63E16D626930}" type="parTrans" cxnId="{E7657E4B-DBB7-444E-A111-D8D6CD990619}">
      <dgm:prSet/>
      <dgm:spPr/>
      <dgm:t>
        <a:bodyPr/>
        <a:lstStyle/>
        <a:p>
          <a:endParaRPr lang="en-US"/>
        </a:p>
      </dgm:t>
    </dgm:pt>
    <dgm:pt modelId="{3C77F7A5-5043-4E27-B9A5-9CFB096240E7}" type="sibTrans" cxnId="{E7657E4B-DBB7-444E-A111-D8D6CD990619}">
      <dgm:prSet/>
      <dgm:spPr/>
      <dgm:t>
        <a:bodyPr/>
        <a:lstStyle/>
        <a:p>
          <a:endParaRPr lang="en-US"/>
        </a:p>
      </dgm:t>
    </dgm:pt>
    <dgm:pt modelId="{F5AF6BFF-CD30-4A21-AB6B-207B401B2B79}">
      <dgm:prSet phldrT="[Text]" custT="1"/>
      <dgm:spPr/>
      <dgm:t>
        <a:bodyPr/>
        <a:lstStyle/>
        <a:p>
          <a:r>
            <a:rPr lang="en-US" sz="1200">
              <a:solidFill>
                <a:schemeClr val="bg2">
                  <a:lumMod val="50000"/>
                </a:schemeClr>
              </a:solidFill>
            </a:rPr>
            <a:t>Total:</a:t>
          </a:r>
        </a:p>
      </dgm:t>
    </dgm:pt>
    <dgm:pt modelId="{A957C588-A1EA-4AA1-9A58-6FDD4CAC68FC}" type="parTrans" cxnId="{A35F16C7-64CE-4519-899A-06BF6266D785}">
      <dgm:prSet/>
      <dgm:spPr/>
      <dgm:t>
        <a:bodyPr/>
        <a:lstStyle/>
        <a:p>
          <a:endParaRPr lang="en-US"/>
        </a:p>
      </dgm:t>
    </dgm:pt>
    <dgm:pt modelId="{8BDB1C26-E169-4FE4-8072-4D0698AE6334}" type="sibTrans" cxnId="{A35F16C7-64CE-4519-899A-06BF6266D785}">
      <dgm:prSet/>
      <dgm:spPr/>
      <dgm:t>
        <a:bodyPr/>
        <a:lstStyle/>
        <a:p>
          <a:endParaRPr lang="en-US"/>
        </a:p>
      </dgm:t>
    </dgm:pt>
    <dgm:pt modelId="{8052B34D-48FD-4A28-AEE1-8D7BEAF822A8}">
      <dgm:prSet phldrT="[Text]" custT="1"/>
      <dgm:spPr/>
      <dgm:t>
        <a:bodyPr/>
        <a:lstStyle/>
        <a:p>
          <a:r>
            <a:rPr lang="en-US" sz="1200">
              <a:solidFill>
                <a:schemeClr val="bg2">
                  <a:lumMod val="50000"/>
                </a:schemeClr>
              </a:solidFill>
            </a:rPr>
            <a:t>206209 </a:t>
          </a:r>
        </a:p>
      </dgm:t>
    </dgm:pt>
    <dgm:pt modelId="{B59DDB12-1C1D-4FDA-9136-4ACE7FF1D2DC}" type="parTrans" cxnId="{242D4956-8BF1-4CCE-B6A6-2993CF76051B}">
      <dgm:prSet/>
      <dgm:spPr/>
      <dgm:t>
        <a:bodyPr/>
        <a:lstStyle/>
        <a:p>
          <a:endParaRPr lang="en-US"/>
        </a:p>
      </dgm:t>
    </dgm:pt>
    <dgm:pt modelId="{0B9E07D5-4DC6-4257-AE04-D04C66020036}" type="sibTrans" cxnId="{242D4956-8BF1-4CCE-B6A6-2993CF76051B}">
      <dgm:prSet/>
      <dgm:spPr/>
      <dgm:t>
        <a:bodyPr/>
        <a:lstStyle/>
        <a:p>
          <a:endParaRPr lang="en-US"/>
        </a:p>
      </dgm:t>
    </dgm:pt>
    <dgm:pt modelId="{70A312E2-ED89-4881-BC50-540DCB79D545}" type="pres">
      <dgm:prSet presAssocID="{CA903A42-A009-4F72-8BC6-9DD141BB282D}" presName="rootnode" presStyleCnt="0">
        <dgm:presLayoutVars>
          <dgm:chMax/>
          <dgm:chPref/>
          <dgm:dir/>
          <dgm:animLvl val="lvl"/>
        </dgm:presLayoutVars>
      </dgm:prSet>
      <dgm:spPr/>
    </dgm:pt>
    <dgm:pt modelId="{B540FA27-FC05-4F97-A5E4-C6C9894DDD59}" type="pres">
      <dgm:prSet presAssocID="{7CBF5620-09E0-46A2-8858-3CE5CA85630C}" presName="composite" presStyleCnt="0"/>
      <dgm:spPr/>
    </dgm:pt>
    <dgm:pt modelId="{C7FC639B-DBD0-4474-AA04-8D39CEEA37AD}" type="pres">
      <dgm:prSet presAssocID="{7CBF5620-09E0-46A2-8858-3CE5CA85630C}" presName="bentUpArrow1" presStyleLbl="alignImgPlace1" presStyleIdx="0" presStyleCnt="1" custLinFactNeighborY="9506"/>
      <dgm:spPr>
        <a:solidFill>
          <a:schemeClr val="bg1">
            <a:lumMod val="85000"/>
          </a:schemeClr>
        </a:solidFill>
      </dgm:spPr>
    </dgm:pt>
    <dgm:pt modelId="{8CB8EF60-C020-4647-B5EC-0535B39E8CAC}" type="pres">
      <dgm:prSet presAssocID="{7CBF5620-09E0-46A2-8858-3CE5CA85630C}" presName="ParentText" presStyleLbl="node1" presStyleIdx="0" presStyleCnt="2">
        <dgm:presLayoutVars>
          <dgm:chMax val="1"/>
          <dgm:chPref val="1"/>
          <dgm:bulletEnabled val="1"/>
        </dgm:presLayoutVars>
      </dgm:prSet>
      <dgm:spPr/>
    </dgm:pt>
    <dgm:pt modelId="{02D75559-D361-43C2-960D-0DE64B2217E1}" type="pres">
      <dgm:prSet presAssocID="{7CBF5620-09E0-46A2-8858-3CE5CA85630C}" presName="ChildText" presStyleLbl="revTx" presStyleIdx="0" presStyleCnt="2">
        <dgm:presLayoutVars>
          <dgm:chMax val="0"/>
          <dgm:chPref val="0"/>
          <dgm:bulletEnabled val="1"/>
        </dgm:presLayoutVars>
      </dgm:prSet>
      <dgm:spPr/>
    </dgm:pt>
    <dgm:pt modelId="{4660D17F-30F6-42C5-8EE6-35E146A86B60}" type="pres">
      <dgm:prSet presAssocID="{3C95FB23-AC91-4BDD-A5DF-1E2BBC84BF28}" presName="sibTrans" presStyleCnt="0"/>
      <dgm:spPr/>
    </dgm:pt>
    <dgm:pt modelId="{79D90592-88B8-4FC4-85C7-8522F3A319D2}" type="pres">
      <dgm:prSet presAssocID="{7DEB02D4-2CD9-403B-887F-18143FC33EDF}" presName="composite" presStyleCnt="0"/>
      <dgm:spPr/>
    </dgm:pt>
    <dgm:pt modelId="{9621899D-0F5A-435B-840E-4641491BFF2E}" type="pres">
      <dgm:prSet presAssocID="{7DEB02D4-2CD9-403B-887F-18143FC33EDF}" presName="ParentText" presStyleLbl="node1" presStyleIdx="1" presStyleCnt="2" custLinFactNeighborX="1866" custLinFactNeighborY="9338">
        <dgm:presLayoutVars>
          <dgm:chMax val="1"/>
          <dgm:chPref val="1"/>
          <dgm:bulletEnabled val="1"/>
        </dgm:presLayoutVars>
      </dgm:prSet>
      <dgm:spPr/>
    </dgm:pt>
    <dgm:pt modelId="{FEDA8202-94DB-48E0-9F89-FDAC252494CB}" type="pres">
      <dgm:prSet presAssocID="{7DEB02D4-2CD9-403B-887F-18143FC33EDF}" presName="FinalChildText" presStyleLbl="revTx" presStyleIdx="1" presStyleCnt="2" custLinFactNeighborX="22187">
        <dgm:presLayoutVars>
          <dgm:chMax val="0"/>
          <dgm:chPref val="0"/>
          <dgm:bulletEnabled val="1"/>
        </dgm:presLayoutVars>
      </dgm:prSet>
      <dgm:spPr/>
    </dgm:pt>
  </dgm:ptLst>
  <dgm:cxnLst>
    <dgm:cxn modelId="{25639009-48B2-44E0-99D3-0AD4922AA44F}" type="presOf" srcId="{F5AF6BFF-CD30-4A21-AB6B-207B401B2B79}" destId="{FEDA8202-94DB-48E0-9F89-FDAC252494CB}" srcOrd="0" destOrd="0" presId="urn:microsoft.com/office/officeart/2005/8/layout/StepDownProcess"/>
    <dgm:cxn modelId="{2413232E-AD10-4277-AD97-4D8A48607E33}" type="presOf" srcId="{8052B34D-48FD-4A28-AEE1-8D7BEAF822A8}" destId="{FEDA8202-94DB-48E0-9F89-FDAC252494CB}" srcOrd="0" destOrd="1" presId="urn:microsoft.com/office/officeart/2005/8/layout/StepDownProcess"/>
    <dgm:cxn modelId="{E7657E4B-DBB7-444E-A111-D8D6CD990619}" srcId="{CA903A42-A009-4F72-8BC6-9DD141BB282D}" destId="{7DEB02D4-2CD9-403B-887F-18143FC33EDF}" srcOrd="1" destOrd="0" parTransId="{5F18CA3B-A88B-4314-B7DE-63E16D626930}" sibTransId="{3C77F7A5-5043-4E27-B9A5-9CFB096240E7}"/>
    <dgm:cxn modelId="{0279144E-E129-4943-B77F-2F99C0E8287A}" type="presOf" srcId="{7CBF5620-09E0-46A2-8858-3CE5CA85630C}" destId="{8CB8EF60-C020-4647-B5EC-0535B39E8CAC}" srcOrd="0" destOrd="0" presId="urn:microsoft.com/office/officeart/2005/8/layout/StepDownProcess"/>
    <dgm:cxn modelId="{242D4956-8BF1-4CCE-B6A6-2993CF76051B}" srcId="{7DEB02D4-2CD9-403B-887F-18143FC33EDF}" destId="{8052B34D-48FD-4A28-AEE1-8D7BEAF822A8}" srcOrd="1" destOrd="0" parTransId="{B59DDB12-1C1D-4FDA-9136-4ACE7FF1D2DC}" sibTransId="{0B9E07D5-4DC6-4257-AE04-D04C66020036}"/>
    <dgm:cxn modelId="{91F9BA9A-A3BC-48B9-8718-879D77AECD8E}" type="presOf" srcId="{CA903A42-A009-4F72-8BC6-9DD141BB282D}" destId="{70A312E2-ED89-4881-BC50-540DCB79D545}" srcOrd="0" destOrd="0" presId="urn:microsoft.com/office/officeart/2005/8/layout/StepDownProcess"/>
    <dgm:cxn modelId="{2DB5489C-A2F6-4027-AD5E-ABABE498D72F}" type="presOf" srcId="{F6D3A649-1C60-4B55-B606-CFE40DF72DF5}" destId="{02D75559-D361-43C2-960D-0DE64B2217E1}" srcOrd="0" destOrd="0" presId="urn:microsoft.com/office/officeart/2005/8/layout/StepDownProcess"/>
    <dgm:cxn modelId="{062732A4-5351-49C0-84A2-A243F20D584D}" srcId="{7CBF5620-09E0-46A2-8858-3CE5CA85630C}" destId="{F6D3A649-1C60-4B55-B606-CFE40DF72DF5}" srcOrd="0" destOrd="0" parTransId="{D5243493-EF89-4757-B391-CB17EECAF797}" sibTransId="{E35DE067-47FC-492E-BEE7-D46FDFA28324}"/>
    <dgm:cxn modelId="{A35F16C7-64CE-4519-899A-06BF6266D785}" srcId="{7DEB02D4-2CD9-403B-887F-18143FC33EDF}" destId="{F5AF6BFF-CD30-4A21-AB6B-207B401B2B79}" srcOrd="0" destOrd="0" parTransId="{A957C588-A1EA-4AA1-9A58-6FDD4CAC68FC}" sibTransId="{8BDB1C26-E169-4FE4-8072-4D0698AE6334}"/>
    <dgm:cxn modelId="{5D170FD6-8665-4F6E-B163-BF3EC675BE43}" srcId="{CA903A42-A009-4F72-8BC6-9DD141BB282D}" destId="{7CBF5620-09E0-46A2-8858-3CE5CA85630C}" srcOrd="0" destOrd="0" parTransId="{F1CEECC4-DB69-4B0B-9EBC-ED09D8A83D11}" sibTransId="{3C95FB23-AC91-4BDD-A5DF-1E2BBC84BF28}"/>
    <dgm:cxn modelId="{ED1B7CE2-91C0-4D5A-8E55-542AAA01CC2D}" type="presOf" srcId="{7DEB02D4-2CD9-403B-887F-18143FC33EDF}" destId="{9621899D-0F5A-435B-840E-4641491BFF2E}" srcOrd="0" destOrd="0" presId="urn:microsoft.com/office/officeart/2005/8/layout/StepDownProcess"/>
    <dgm:cxn modelId="{DCCAE6F2-7E60-4C78-A910-CD1E9C888350}" type="presParOf" srcId="{70A312E2-ED89-4881-BC50-540DCB79D545}" destId="{B540FA27-FC05-4F97-A5E4-C6C9894DDD59}" srcOrd="0" destOrd="0" presId="urn:microsoft.com/office/officeart/2005/8/layout/StepDownProcess"/>
    <dgm:cxn modelId="{BD72A49B-6096-4DEA-8FE4-9ACE69FFA09B}" type="presParOf" srcId="{B540FA27-FC05-4F97-A5E4-C6C9894DDD59}" destId="{C7FC639B-DBD0-4474-AA04-8D39CEEA37AD}" srcOrd="0" destOrd="0" presId="urn:microsoft.com/office/officeart/2005/8/layout/StepDownProcess"/>
    <dgm:cxn modelId="{3530BF9F-2910-49DB-BEF6-004576DC2EED}" type="presParOf" srcId="{B540FA27-FC05-4F97-A5E4-C6C9894DDD59}" destId="{8CB8EF60-C020-4647-B5EC-0535B39E8CAC}" srcOrd="1" destOrd="0" presId="urn:microsoft.com/office/officeart/2005/8/layout/StepDownProcess"/>
    <dgm:cxn modelId="{48CF098C-F2A2-422B-A56B-AC55DD95A881}" type="presParOf" srcId="{B540FA27-FC05-4F97-A5E4-C6C9894DDD59}" destId="{02D75559-D361-43C2-960D-0DE64B2217E1}" srcOrd="2" destOrd="0" presId="urn:microsoft.com/office/officeart/2005/8/layout/StepDownProcess"/>
    <dgm:cxn modelId="{A6A53A10-ACCB-454E-9B20-97036A461B6C}" type="presParOf" srcId="{70A312E2-ED89-4881-BC50-540DCB79D545}" destId="{4660D17F-30F6-42C5-8EE6-35E146A86B60}" srcOrd="1" destOrd="0" presId="urn:microsoft.com/office/officeart/2005/8/layout/StepDownProcess"/>
    <dgm:cxn modelId="{6F305D73-1BF8-434C-8A5A-4A217DA3DAF9}" type="presParOf" srcId="{70A312E2-ED89-4881-BC50-540DCB79D545}" destId="{79D90592-88B8-4FC4-85C7-8522F3A319D2}" srcOrd="2" destOrd="0" presId="urn:microsoft.com/office/officeart/2005/8/layout/StepDownProcess"/>
    <dgm:cxn modelId="{1B050D35-010A-46F8-B0AA-492E2279F6E0}" type="presParOf" srcId="{79D90592-88B8-4FC4-85C7-8522F3A319D2}" destId="{9621899D-0F5A-435B-840E-4641491BFF2E}" srcOrd="0" destOrd="0" presId="urn:microsoft.com/office/officeart/2005/8/layout/StepDownProcess"/>
    <dgm:cxn modelId="{BB15A79A-077F-4F60-8132-FB510FF7B5B3}" type="presParOf" srcId="{79D90592-88B8-4FC4-85C7-8522F3A319D2}" destId="{FEDA8202-94DB-48E0-9F89-FDAC252494CB}" srcOrd="1" destOrd="0" presId="urn:microsoft.com/office/officeart/2005/8/layout/StepDownProcess"/>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7FC639B-DBD0-4474-AA04-8D39CEEA37AD}">
      <dsp:nvSpPr>
        <dsp:cNvPr id="0" name=""/>
        <dsp:cNvSpPr/>
      </dsp:nvSpPr>
      <dsp:spPr>
        <a:xfrm rot="5400000">
          <a:off x="154682" y="731009"/>
          <a:ext cx="582237" cy="662857"/>
        </a:xfrm>
        <a:prstGeom prst="bentUpArrow">
          <a:avLst>
            <a:gd name="adj1" fmla="val 32840"/>
            <a:gd name="adj2" fmla="val 25000"/>
            <a:gd name="adj3" fmla="val 35780"/>
          </a:avLst>
        </a:prstGeom>
        <a:solidFill>
          <a:schemeClr val="bg1">
            <a:lumMod val="8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8CB8EF60-C020-4647-B5EC-0535B39E8CAC}">
      <dsp:nvSpPr>
        <dsp:cNvPr id="0" name=""/>
        <dsp:cNvSpPr/>
      </dsp:nvSpPr>
      <dsp:spPr>
        <a:xfrm>
          <a:off x="424" y="30239"/>
          <a:ext cx="980145" cy="686070"/>
        </a:xfrm>
        <a:prstGeom prst="roundRect">
          <a:avLst>
            <a:gd name="adj" fmla="val 16670"/>
          </a:avLst>
        </a:prstGeom>
        <a:solidFill>
          <a:schemeClr val="bg1">
            <a:lumMod val="6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Orders - </a:t>
          </a:r>
          <a:r>
            <a:rPr lang="en-US" sz="1400" kern="1200"/>
            <a:t>original data</a:t>
          </a:r>
        </a:p>
      </dsp:txBody>
      <dsp:txXfrm>
        <a:off x="33921" y="63736"/>
        <a:ext cx="913151" cy="619076"/>
      </dsp:txXfrm>
    </dsp:sp>
    <dsp:sp modelId="{02D75559-D361-43C2-960D-0DE64B2217E1}">
      <dsp:nvSpPr>
        <dsp:cNvPr id="0" name=""/>
        <dsp:cNvSpPr/>
      </dsp:nvSpPr>
      <dsp:spPr>
        <a:xfrm>
          <a:off x="1040796" y="95671"/>
          <a:ext cx="1569678" cy="554512"/>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45720" tIns="45720" rIns="45720" bIns="45720" numCol="1" spcCol="1270" anchor="ctr" anchorCtr="0">
          <a:noAutofit/>
        </a:bodyPr>
        <a:lstStyle/>
        <a:p>
          <a:pPr marL="114300" lvl="1" indent="-114300" algn="l" defTabSz="533400">
            <a:lnSpc>
              <a:spcPct val="90000"/>
            </a:lnSpc>
            <a:spcBef>
              <a:spcPct val="0"/>
            </a:spcBef>
            <a:spcAft>
              <a:spcPct val="15000"/>
            </a:spcAft>
            <a:buChar char="•"/>
          </a:pPr>
          <a:r>
            <a:rPr lang="en-US" sz="1200" kern="1200">
              <a:solidFill>
                <a:schemeClr val="bg2">
                  <a:lumMod val="50000"/>
                </a:schemeClr>
              </a:solidFill>
            </a:rPr>
            <a:t>Total</a:t>
          </a:r>
          <a:r>
            <a:rPr lang="en-US" sz="1400" kern="1200">
              <a:solidFill>
                <a:schemeClr val="bg2">
                  <a:lumMod val="50000"/>
                </a:schemeClr>
              </a:solidFill>
            </a:rPr>
            <a:t>: 3421083 rows </a:t>
          </a:r>
          <a:r>
            <a:rPr lang="en-US" sz="1200" kern="1200">
              <a:solidFill>
                <a:schemeClr val="bg2">
                  <a:lumMod val="50000"/>
                </a:schemeClr>
              </a:solidFill>
            </a:rPr>
            <a:t> </a:t>
          </a:r>
        </a:p>
      </dsp:txBody>
      <dsp:txXfrm>
        <a:off x="1040796" y="95671"/>
        <a:ext cx="1569678" cy="554512"/>
      </dsp:txXfrm>
    </dsp:sp>
    <dsp:sp modelId="{9621899D-0F5A-435B-840E-4641491BFF2E}">
      <dsp:nvSpPr>
        <dsp:cNvPr id="0" name=""/>
        <dsp:cNvSpPr/>
      </dsp:nvSpPr>
      <dsp:spPr>
        <a:xfrm>
          <a:off x="824479" y="800922"/>
          <a:ext cx="1061831" cy="747871"/>
        </a:xfrm>
        <a:prstGeom prst="roundRect">
          <a:avLst>
            <a:gd name="adj" fmla="val 1667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Orders - </a:t>
          </a:r>
          <a:r>
            <a:rPr lang="en-US" sz="1200" kern="1200"/>
            <a:t>after consistency checks</a:t>
          </a:r>
        </a:p>
      </dsp:txBody>
      <dsp:txXfrm>
        <a:off x="860994" y="837437"/>
        <a:ext cx="988801" cy="674841"/>
      </dsp:txXfrm>
    </dsp:sp>
    <dsp:sp modelId="{FEDA8202-94DB-48E0-9F89-FDAC252494CB}">
      <dsp:nvSpPr>
        <dsp:cNvPr id="0" name=""/>
        <dsp:cNvSpPr/>
      </dsp:nvSpPr>
      <dsp:spPr>
        <a:xfrm>
          <a:off x="1862425" y="897255"/>
          <a:ext cx="1068249" cy="554512"/>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45720" tIns="45720" rIns="45720" bIns="45720" numCol="1" spcCol="1270" anchor="ctr" anchorCtr="0">
          <a:noAutofit/>
        </a:bodyPr>
        <a:lstStyle/>
        <a:p>
          <a:pPr marL="114300" lvl="1" indent="-114300" algn="l" defTabSz="533400">
            <a:lnSpc>
              <a:spcPct val="90000"/>
            </a:lnSpc>
            <a:spcBef>
              <a:spcPct val="0"/>
            </a:spcBef>
            <a:spcAft>
              <a:spcPct val="15000"/>
            </a:spcAft>
            <a:buChar char="•"/>
          </a:pPr>
          <a:r>
            <a:rPr lang="en-US" sz="1200" kern="1200">
              <a:solidFill>
                <a:schemeClr val="bg2">
                  <a:lumMod val="50000"/>
                </a:schemeClr>
              </a:solidFill>
            </a:rPr>
            <a:t>Total: 3421083 </a:t>
          </a:r>
        </a:p>
      </dsp:txBody>
      <dsp:txXfrm>
        <a:off x="1862425" y="897255"/>
        <a:ext cx="1068249" cy="554512"/>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7FC639B-DBD0-4474-AA04-8D39CEEA37AD}">
      <dsp:nvSpPr>
        <dsp:cNvPr id="0" name=""/>
        <dsp:cNvSpPr/>
      </dsp:nvSpPr>
      <dsp:spPr>
        <a:xfrm rot="5400000">
          <a:off x="168965" y="973672"/>
          <a:ext cx="635294" cy="723260"/>
        </a:xfrm>
        <a:prstGeom prst="bentUpArrow">
          <a:avLst>
            <a:gd name="adj1" fmla="val 32840"/>
            <a:gd name="adj2" fmla="val 25000"/>
            <a:gd name="adj3" fmla="val 35780"/>
          </a:avLst>
        </a:prstGeom>
        <a:solidFill>
          <a:schemeClr val="accent3">
            <a:tint val="50000"/>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8CB8EF60-C020-4647-B5EC-0535B39E8CAC}">
      <dsp:nvSpPr>
        <dsp:cNvPr id="0" name=""/>
        <dsp:cNvSpPr/>
      </dsp:nvSpPr>
      <dsp:spPr>
        <a:xfrm>
          <a:off x="650" y="201973"/>
          <a:ext cx="1069462" cy="748588"/>
        </a:xfrm>
        <a:prstGeom prst="roundRect">
          <a:avLst>
            <a:gd name="adj" fmla="val 16670"/>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Products - </a:t>
          </a:r>
          <a:r>
            <a:rPr lang="en-US" sz="1400" kern="1200"/>
            <a:t>original data</a:t>
          </a:r>
        </a:p>
      </dsp:txBody>
      <dsp:txXfrm>
        <a:off x="37200" y="238523"/>
        <a:ext cx="996362" cy="675488"/>
      </dsp:txXfrm>
    </dsp:sp>
    <dsp:sp modelId="{02D75559-D361-43C2-960D-0DE64B2217E1}">
      <dsp:nvSpPr>
        <dsp:cNvPr id="0" name=""/>
        <dsp:cNvSpPr/>
      </dsp:nvSpPr>
      <dsp:spPr>
        <a:xfrm>
          <a:off x="1085976" y="252306"/>
          <a:ext cx="1504383" cy="605042"/>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45720" tIns="45720" rIns="45720" bIns="45720" numCol="1" spcCol="1270" anchor="ctr" anchorCtr="0">
          <a:noAutofit/>
        </a:bodyPr>
        <a:lstStyle/>
        <a:p>
          <a:pPr marL="114300" lvl="1" indent="-114300" algn="l" defTabSz="533400">
            <a:lnSpc>
              <a:spcPct val="90000"/>
            </a:lnSpc>
            <a:spcBef>
              <a:spcPct val="0"/>
            </a:spcBef>
            <a:spcAft>
              <a:spcPct val="15000"/>
            </a:spcAft>
            <a:buChar char="•"/>
          </a:pPr>
          <a:r>
            <a:rPr lang="en-US" sz="1200" kern="1200">
              <a:solidFill>
                <a:schemeClr val="bg2">
                  <a:lumMod val="50000"/>
                </a:schemeClr>
              </a:solidFill>
            </a:rPr>
            <a:t>Total</a:t>
          </a:r>
          <a:r>
            <a:rPr lang="en-US" sz="1400" kern="1200">
              <a:solidFill>
                <a:schemeClr val="bg2">
                  <a:lumMod val="50000"/>
                </a:schemeClr>
              </a:solidFill>
            </a:rPr>
            <a:t>: 49693 rows  </a:t>
          </a:r>
          <a:endParaRPr lang="en-US" sz="1900" kern="1200">
            <a:solidFill>
              <a:schemeClr val="bg2">
                <a:lumMod val="50000"/>
              </a:schemeClr>
            </a:solidFill>
          </a:endParaRPr>
        </a:p>
      </dsp:txBody>
      <dsp:txXfrm>
        <a:off x="1085976" y="252306"/>
        <a:ext cx="1504383" cy="605042"/>
      </dsp:txXfrm>
    </dsp:sp>
    <dsp:sp modelId="{9621899D-0F5A-435B-840E-4641491BFF2E}">
      <dsp:nvSpPr>
        <dsp:cNvPr id="0" name=""/>
        <dsp:cNvSpPr/>
      </dsp:nvSpPr>
      <dsp:spPr>
        <a:xfrm>
          <a:off x="914243" y="1042885"/>
          <a:ext cx="1069462" cy="748588"/>
        </a:xfrm>
        <a:prstGeom prst="roundRect">
          <a:avLst>
            <a:gd name="adj" fmla="val 16670"/>
          </a:avLst>
        </a:prstGeom>
        <a:solidFill>
          <a:schemeClr val="accent3">
            <a:hueOff val="2710599"/>
            <a:satOff val="100000"/>
            <a:lumOff val="-14706"/>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Products - </a:t>
          </a:r>
          <a:r>
            <a:rPr lang="en-US" sz="1200" kern="1200"/>
            <a:t>after consistency checks</a:t>
          </a:r>
        </a:p>
      </dsp:txBody>
      <dsp:txXfrm>
        <a:off x="950793" y="1079435"/>
        <a:ext cx="996362" cy="675488"/>
      </dsp:txXfrm>
    </dsp:sp>
    <dsp:sp modelId="{FEDA8202-94DB-48E0-9F89-FDAC252494CB}">
      <dsp:nvSpPr>
        <dsp:cNvPr id="0" name=""/>
        <dsp:cNvSpPr/>
      </dsp:nvSpPr>
      <dsp:spPr>
        <a:xfrm>
          <a:off x="2004804" y="1114280"/>
          <a:ext cx="777825" cy="605042"/>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45720" tIns="45720" rIns="45720" bIns="45720" numCol="1" spcCol="1270" anchor="ctr" anchorCtr="0">
          <a:noAutofit/>
        </a:bodyPr>
        <a:lstStyle/>
        <a:p>
          <a:pPr marL="114300" lvl="1" indent="-114300" algn="l" defTabSz="533400">
            <a:lnSpc>
              <a:spcPct val="90000"/>
            </a:lnSpc>
            <a:spcBef>
              <a:spcPct val="0"/>
            </a:spcBef>
            <a:spcAft>
              <a:spcPct val="15000"/>
            </a:spcAft>
            <a:buChar char="•"/>
          </a:pPr>
          <a:r>
            <a:rPr lang="en-US" sz="1200" kern="1200">
              <a:solidFill>
                <a:schemeClr val="bg2">
                  <a:lumMod val="50000"/>
                </a:schemeClr>
              </a:solidFill>
            </a:rPr>
            <a:t>Total: 49683 </a:t>
          </a:r>
        </a:p>
      </dsp:txBody>
      <dsp:txXfrm>
        <a:off x="2004804" y="1114280"/>
        <a:ext cx="777825" cy="605042"/>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7FC639B-DBD0-4474-AA04-8D39CEEA37AD}">
      <dsp:nvSpPr>
        <dsp:cNvPr id="0" name=""/>
        <dsp:cNvSpPr/>
      </dsp:nvSpPr>
      <dsp:spPr>
        <a:xfrm rot="5400000">
          <a:off x="81947" y="1223667"/>
          <a:ext cx="828346" cy="572586"/>
        </a:xfrm>
        <a:prstGeom prst="bentUpArrow">
          <a:avLst>
            <a:gd name="adj1" fmla="val 32840"/>
            <a:gd name="adj2" fmla="val 25000"/>
            <a:gd name="adj3" fmla="val 35780"/>
          </a:avLst>
        </a:prstGeom>
        <a:solidFill>
          <a:schemeClr val="accent3">
            <a:tint val="50000"/>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8CB8EF60-C020-4647-B5EC-0535B39E8CAC}">
      <dsp:nvSpPr>
        <dsp:cNvPr id="0" name=""/>
        <dsp:cNvSpPr/>
      </dsp:nvSpPr>
      <dsp:spPr>
        <a:xfrm>
          <a:off x="61000" y="479461"/>
          <a:ext cx="2053772" cy="550117"/>
        </a:xfrm>
        <a:prstGeom prst="roundRect">
          <a:avLst>
            <a:gd name="adj" fmla="val 16670"/>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orders_products_prior - </a:t>
          </a:r>
          <a:r>
            <a:rPr lang="en-US" sz="1400" kern="1200"/>
            <a:t>original data</a:t>
          </a:r>
        </a:p>
      </dsp:txBody>
      <dsp:txXfrm>
        <a:off x="87859" y="506320"/>
        <a:ext cx="2000054" cy="496399"/>
      </dsp:txXfrm>
    </dsp:sp>
    <dsp:sp modelId="{02D75559-D361-43C2-960D-0DE64B2217E1}">
      <dsp:nvSpPr>
        <dsp:cNvPr id="0" name=""/>
        <dsp:cNvSpPr/>
      </dsp:nvSpPr>
      <dsp:spPr>
        <a:xfrm>
          <a:off x="2113854" y="313285"/>
          <a:ext cx="1050449" cy="817107"/>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45720" tIns="45720" rIns="45720" bIns="45720" numCol="1" spcCol="1270" anchor="ctr" anchorCtr="0">
          <a:noAutofit/>
        </a:bodyPr>
        <a:lstStyle/>
        <a:p>
          <a:pPr marL="114300" lvl="1" indent="-114300" algn="l" defTabSz="533400">
            <a:lnSpc>
              <a:spcPct val="90000"/>
            </a:lnSpc>
            <a:spcBef>
              <a:spcPct val="0"/>
            </a:spcBef>
            <a:spcAft>
              <a:spcPct val="15000"/>
            </a:spcAft>
            <a:buChar char="•"/>
          </a:pPr>
          <a:r>
            <a:rPr lang="en-US" sz="1200" kern="1200">
              <a:solidFill>
                <a:schemeClr val="bg2">
                  <a:lumMod val="50000"/>
                </a:schemeClr>
              </a:solidFill>
            </a:rPr>
            <a:t>Total</a:t>
          </a:r>
          <a:r>
            <a:rPr lang="en-US" sz="1400" kern="1200">
              <a:solidFill>
                <a:schemeClr val="bg2">
                  <a:lumMod val="50000"/>
                </a:schemeClr>
              </a:solidFill>
            </a:rPr>
            <a:t>: 32434489 </a:t>
          </a:r>
          <a:endParaRPr lang="en-US" sz="1900" kern="1200">
            <a:solidFill>
              <a:schemeClr val="bg2">
                <a:lumMod val="50000"/>
              </a:schemeClr>
            </a:solidFill>
          </a:endParaRPr>
        </a:p>
      </dsp:txBody>
      <dsp:txXfrm>
        <a:off x="2113854" y="313285"/>
        <a:ext cx="1050449" cy="817107"/>
      </dsp:txXfrm>
    </dsp:sp>
    <dsp:sp modelId="{9621899D-0F5A-435B-840E-4641491BFF2E}">
      <dsp:nvSpPr>
        <dsp:cNvPr id="0" name=""/>
        <dsp:cNvSpPr/>
      </dsp:nvSpPr>
      <dsp:spPr>
        <a:xfrm>
          <a:off x="852481" y="1405450"/>
          <a:ext cx="2095064" cy="665903"/>
        </a:xfrm>
        <a:prstGeom prst="roundRect">
          <a:avLst>
            <a:gd name="adj" fmla="val 16670"/>
          </a:avLst>
        </a:prstGeom>
        <a:solidFill>
          <a:schemeClr val="accent6">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orders_products_prior - </a:t>
          </a:r>
          <a:r>
            <a:rPr lang="en-US" sz="1200" kern="1200"/>
            <a:t>after consistency checks</a:t>
          </a:r>
        </a:p>
      </dsp:txBody>
      <dsp:txXfrm>
        <a:off x="884994" y="1437963"/>
        <a:ext cx="2030038" cy="600877"/>
      </dsp:txXfrm>
    </dsp:sp>
    <dsp:sp modelId="{FEDA8202-94DB-48E0-9F89-FDAC252494CB}">
      <dsp:nvSpPr>
        <dsp:cNvPr id="0" name=""/>
        <dsp:cNvSpPr/>
      </dsp:nvSpPr>
      <dsp:spPr>
        <a:xfrm>
          <a:off x="3008667" y="1325982"/>
          <a:ext cx="1140966" cy="817107"/>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45720" tIns="45720" rIns="45720" bIns="45720" numCol="1" spcCol="1270" anchor="ctr" anchorCtr="0">
          <a:noAutofit/>
        </a:bodyPr>
        <a:lstStyle/>
        <a:p>
          <a:pPr marL="114300" lvl="1" indent="-114300" algn="l" defTabSz="533400">
            <a:lnSpc>
              <a:spcPct val="90000"/>
            </a:lnSpc>
            <a:spcBef>
              <a:spcPct val="0"/>
            </a:spcBef>
            <a:spcAft>
              <a:spcPct val="15000"/>
            </a:spcAft>
            <a:buChar char="•"/>
          </a:pPr>
          <a:r>
            <a:rPr lang="en-US" sz="1200" kern="1200">
              <a:solidFill>
                <a:schemeClr val="bg2">
                  <a:lumMod val="50000"/>
                </a:schemeClr>
              </a:solidFill>
            </a:rPr>
            <a:t>Total:</a:t>
          </a:r>
        </a:p>
        <a:p>
          <a:pPr marL="114300" lvl="1" indent="-114300" algn="l" defTabSz="533400">
            <a:lnSpc>
              <a:spcPct val="90000"/>
            </a:lnSpc>
            <a:spcBef>
              <a:spcPct val="0"/>
            </a:spcBef>
            <a:spcAft>
              <a:spcPct val="15000"/>
            </a:spcAft>
            <a:buChar char="•"/>
          </a:pPr>
          <a:r>
            <a:rPr lang="en-US" sz="1200" kern="1200">
              <a:solidFill>
                <a:schemeClr val="bg2">
                  <a:lumMod val="50000"/>
                </a:schemeClr>
              </a:solidFill>
            </a:rPr>
            <a:t>32434489 </a:t>
          </a:r>
        </a:p>
      </dsp:txBody>
      <dsp:txXfrm>
        <a:off x="3008667" y="1325982"/>
        <a:ext cx="1140966" cy="817107"/>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7FC639B-DBD0-4474-AA04-8D39CEEA37AD}">
      <dsp:nvSpPr>
        <dsp:cNvPr id="0" name=""/>
        <dsp:cNvSpPr/>
      </dsp:nvSpPr>
      <dsp:spPr>
        <a:xfrm rot="5400000">
          <a:off x="175544" y="1020820"/>
          <a:ext cx="662029" cy="753697"/>
        </a:xfrm>
        <a:prstGeom prst="bentUpArrow">
          <a:avLst>
            <a:gd name="adj1" fmla="val 32840"/>
            <a:gd name="adj2" fmla="val 25000"/>
            <a:gd name="adj3" fmla="val 35780"/>
          </a:avLst>
        </a:prstGeom>
        <a:solidFill>
          <a:schemeClr val="bg1">
            <a:lumMod val="8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8CB8EF60-C020-4647-B5EC-0535B39E8CAC}">
      <dsp:nvSpPr>
        <dsp:cNvPr id="0" name=""/>
        <dsp:cNvSpPr/>
      </dsp:nvSpPr>
      <dsp:spPr>
        <a:xfrm>
          <a:off x="147" y="224014"/>
          <a:ext cx="1114468" cy="780091"/>
        </a:xfrm>
        <a:prstGeom prst="roundRect">
          <a:avLst>
            <a:gd name="adj" fmla="val 16670"/>
          </a:avLst>
        </a:prstGeom>
        <a:solidFill>
          <a:schemeClr val="bg1">
            <a:lumMod val="6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Customers - </a:t>
          </a:r>
          <a:r>
            <a:rPr lang="en-US" sz="1400" kern="1200"/>
            <a:t>original data</a:t>
          </a:r>
        </a:p>
      </dsp:txBody>
      <dsp:txXfrm>
        <a:off x="38235" y="262102"/>
        <a:ext cx="1038292" cy="703915"/>
      </dsp:txXfrm>
    </dsp:sp>
    <dsp:sp modelId="{02D75559-D361-43C2-960D-0DE64B2217E1}">
      <dsp:nvSpPr>
        <dsp:cNvPr id="0" name=""/>
        <dsp:cNvSpPr/>
      </dsp:nvSpPr>
      <dsp:spPr>
        <a:xfrm>
          <a:off x="1114615" y="298414"/>
          <a:ext cx="810558" cy="630504"/>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45720" tIns="45720" rIns="45720" bIns="45720" numCol="1" spcCol="1270" anchor="ctr" anchorCtr="0">
          <a:noAutofit/>
        </a:bodyPr>
        <a:lstStyle/>
        <a:p>
          <a:pPr marL="114300" lvl="1" indent="-114300" algn="l" defTabSz="533400">
            <a:lnSpc>
              <a:spcPct val="90000"/>
            </a:lnSpc>
            <a:spcBef>
              <a:spcPct val="0"/>
            </a:spcBef>
            <a:spcAft>
              <a:spcPct val="15000"/>
            </a:spcAft>
            <a:buChar char="•"/>
          </a:pPr>
          <a:r>
            <a:rPr lang="en-US" sz="1200" kern="1200">
              <a:solidFill>
                <a:schemeClr val="bg2">
                  <a:lumMod val="50000"/>
                </a:schemeClr>
              </a:solidFill>
            </a:rPr>
            <a:t>Total</a:t>
          </a:r>
          <a:r>
            <a:rPr lang="en-US" sz="1400" kern="1200">
              <a:solidFill>
                <a:schemeClr val="bg2">
                  <a:lumMod val="50000"/>
                </a:schemeClr>
              </a:solidFill>
            </a:rPr>
            <a:t>: 206209 </a:t>
          </a:r>
        </a:p>
      </dsp:txBody>
      <dsp:txXfrm>
        <a:off x="1114615" y="298414"/>
        <a:ext cx="810558" cy="630504"/>
      </dsp:txXfrm>
    </dsp:sp>
    <dsp:sp modelId="{9621899D-0F5A-435B-840E-4641491BFF2E}">
      <dsp:nvSpPr>
        <dsp:cNvPr id="0" name=""/>
        <dsp:cNvSpPr/>
      </dsp:nvSpPr>
      <dsp:spPr>
        <a:xfrm>
          <a:off x="944956" y="1173160"/>
          <a:ext cx="1114468" cy="780091"/>
        </a:xfrm>
        <a:prstGeom prst="roundRect">
          <a:avLst>
            <a:gd name="adj" fmla="val 16670"/>
          </a:avLst>
        </a:prstGeom>
        <a:solidFill>
          <a:schemeClr val="accent4">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Customers - </a:t>
          </a:r>
          <a:r>
            <a:rPr lang="en-US" sz="1200" kern="1200"/>
            <a:t>after consistency checks</a:t>
          </a:r>
        </a:p>
      </dsp:txBody>
      <dsp:txXfrm>
        <a:off x="983044" y="1211248"/>
        <a:ext cx="1038292" cy="703915"/>
      </dsp:txXfrm>
    </dsp:sp>
    <dsp:sp modelId="{FEDA8202-94DB-48E0-9F89-FDAC252494CB}">
      <dsp:nvSpPr>
        <dsp:cNvPr id="0" name=""/>
        <dsp:cNvSpPr/>
      </dsp:nvSpPr>
      <dsp:spPr>
        <a:xfrm>
          <a:off x="2038775" y="1174714"/>
          <a:ext cx="810558" cy="630504"/>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45720" tIns="45720" rIns="45720" bIns="45720" numCol="1" spcCol="1270" anchor="ctr" anchorCtr="0">
          <a:noAutofit/>
        </a:bodyPr>
        <a:lstStyle/>
        <a:p>
          <a:pPr marL="114300" lvl="1" indent="-114300" algn="l" defTabSz="533400">
            <a:lnSpc>
              <a:spcPct val="90000"/>
            </a:lnSpc>
            <a:spcBef>
              <a:spcPct val="0"/>
            </a:spcBef>
            <a:spcAft>
              <a:spcPct val="15000"/>
            </a:spcAft>
            <a:buChar char="•"/>
          </a:pPr>
          <a:r>
            <a:rPr lang="en-US" sz="1200" kern="1200">
              <a:solidFill>
                <a:schemeClr val="bg2">
                  <a:lumMod val="50000"/>
                </a:schemeClr>
              </a:solidFill>
            </a:rPr>
            <a:t>Total:</a:t>
          </a:r>
        </a:p>
        <a:p>
          <a:pPr marL="114300" lvl="1" indent="-114300" algn="l" defTabSz="533400">
            <a:lnSpc>
              <a:spcPct val="90000"/>
            </a:lnSpc>
            <a:spcBef>
              <a:spcPct val="0"/>
            </a:spcBef>
            <a:spcAft>
              <a:spcPct val="15000"/>
            </a:spcAft>
            <a:buChar char="•"/>
          </a:pPr>
          <a:r>
            <a:rPr lang="en-US" sz="1200" kern="1200">
              <a:solidFill>
                <a:schemeClr val="bg2">
                  <a:lumMod val="50000"/>
                </a:schemeClr>
              </a:solidFill>
            </a:rPr>
            <a:t>206209 </a:t>
          </a:r>
        </a:p>
      </dsp:txBody>
      <dsp:txXfrm>
        <a:off x="2038775" y="1174714"/>
        <a:ext cx="810558" cy="630504"/>
      </dsp:txXfrm>
    </dsp:sp>
  </dsp:spTree>
</dsp:drawing>
</file>

<file path=xl/diagrams/layout1.xml><?xml version="1.0" encoding="utf-8"?>
<dgm:layoutDef xmlns:dgm="http://schemas.openxmlformats.org/drawingml/2006/diagram" xmlns:a="http://schemas.openxmlformats.org/drawingml/2006/main" uniqueId="urn:microsoft.com/office/officeart/2005/8/layout/StepDownProcess">
  <dgm:title val=""/>
  <dgm:desc val=""/>
  <dgm:catLst>
    <dgm:cat type="process" pri="1600"/>
  </dgm:catLst>
  <dgm:sampData>
    <dgm:dataModel>
      <dgm:ptLst>
        <dgm:pt modelId="0" type="doc"/>
        <dgm:pt modelId="10">
          <dgm:prSet phldr="1"/>
        </dgm:pt>
        <dgm:pt modelId="11">
          <dgm:prSet phldr="1"/>
        </dgm:pt>
        <dgm:pt modelId="20">
          <dgm:prSet phldr="1"/>
        </dgm:pt>
        <dgm:pt modelId="21">
          <dgm:prSet phldr="1"/>
        </dgm:pt>
        <dgm:pt modelId="30">
          <dgm:prSet phldr="1"/>
        </dgm:pt>
        <dgm:pt modelId="31">
          <dgm:prSet phldr="1"/>
        </dgm:pt>
      </dgm:ptLst>
      <dgm:cxnLst>
        <dgm:cxn modelId="60" srcId="0" destId="10" srcOrd="0" destOrd="0"/>
        <dgm:cxn modelId="12" srcId="10" destId="11" srcOrd="0" destOrd="0"/>
        <dgm:cxn modelId="70" srcId="0" destId="20" srcOrd="1" destOrd="0"/>
        <dgm:cxn modelId="22" srcId="20" destId="21" srcOrd="0" destOrd="0"/>
        <dgm:cxn modelId="80" srcId="0" destId="30" srcOrd="2" destOrd="0"/>
        <dgm:cxn modelId="32" srcId="30" destId="31" srcOrd="0" destOrd="0"/>
      </dgm:cxnLst>
      <dgm:bg/>
      <dgm:whole/>
    </dgm:dataModel>
  </dgm:sampData>
  <dgm:styleData>
    <dgm:dataModel>
      <dgm:ptLst>
        <dgm:pt modelId="0" type="doc"/>
        <dgm:pt modelId="10">
          <dgm:prSet phldr="1"/>
        </dgm:pt>
        <dgm:pt modelId="20">
          <dgm:prSet phldr="1"/>
        </dgm:pt>
      </dgm:ptLst>
      <dgm:cxnLst>
        <dgm:cxn modelId="60" srcId="0" destId="10" srcOrd="0" destOrd="0"/>
        <dgm:cxn modelId="70" srcId="0" destId="20" srcOrd="1" destOrd="0"/>
      </dgm:cxnLst>
      <dgm:bg/>
      <dgm:whole/>
    </dgm:dataModel>
  </dgm:styleData>
  <dgm:clrData>
    <dgm:dataModel>
      <dgm:ptLst>
        <dgm:pt modelId="0" type="doc"/>
        <dgm:pt modelId="10">
          <dgm:prSet phldr="1"/>
        </dgm:pt>
        <dgm:pt modelId="20">
          <dgm:prSet phldr="1"/>
        </dgm:pt>
        <dgm:pt modelId="30">
          <dgm:prSet phldr="1"/>
        </dgm:pt>
        <dgm:pt modelId="40">
          <dgm:prSet phldr="1"/>
        </dgm:pt>
      </dgm:ptLst>
      <dgm:cxnLst>
        <dgm:cxn modelId="60" srcId="0" destId="10" srcOrd="0" destOrd="0"/>
        <dgm:cxn modelId="70" srcId="0" destId="20" srcOrd="1" destOrd="0"/>
        <dgm:cxn modelId="80" srcId="0" destId="30" srcOrd="2" destOrd="0"/>
        <dgm:cxn modelId="90" srcId="0" destId="40" srcOrd="3" destOrd="0"/>
      </dgm:cxnLst>
      <dgm:bg/>
      <dgm:whole/>
    </dgm:dataModel>
  </dgm:clrData>
  <dgm:layoutNode name="rootnode">
    <dgm:varLst>
      <dgm:chMax/>
      <dgm:chPref/>
      <dgm:dir/>
      <dgm:animLvl val="lvl"/>
    </dgm:varLst>
    <dgm:choose name="Name0">
      <dgm:if name="Name1" func="var" arg="dir" op="equ" val="norm">
        <dgm:alg type="snake">
          <dgm:param type="grDir" val="tL"/>
          <dgm:param type="flowDir" val="row"/>
          <dgm:param type="off" val="off"/>
          <dgm:param type="bkpt" val="fixed"/>
          <dgm:param type="bkPtFixedVal" val="1"/>
        </dgm:alg>
      </dgm:if>
      <dgm:else name="Name2">
        <dgm:alg type="snake">
          <dgm:param type="grDir" val="tR"/>
          <dgm:param type="flowDir" val="row"/>
          <dgm:param type="off" val="off"/>
          <dgm:param type="bkpt" val="fixed"/>
          <dgm:param type="bkPtFixedVal" val="1"/>
        </dgm:alg>
      </dgm:else>
    </dgm:choose>
    <dgm:shape xmlns:r="http://schemas.openxmlformats.org/officeDocument/2006/relationships" r:blip="">
      <dgm:adjLst/>
    </dgm:shape>
    <dgm:choose name="Name3">
      <dgm:if name="Name4" func="var" arg="dir" op="equ" val="norm">
        <dgm:constrLst>
          <dgm:constr type="alignOff" forName="rootnode" val="0.48"/>
          <dgm:constr type="primFontSz" for="des" forName="ParentText" val="65"/>
          <dgm:constr type="primFontSz" for="des" forName="ChildText" refType="primFontSz" refFor="des" refForName="ParentText" op="lte"/>
          <dgm:constr type="w" for="ch" forName="composite" refType="w"/>
          <dgm:constr type="h" for="ch" forName="composite" refType="h"/>
          <dgm:constr type="sp" refType="h" refFor="ch" refForName="composite" op="equ" fact="-0.38"/>
        </dgm:constrLst>
      </dgm:if>
      <dgm:else name="Name5">
        <dgm:constrLst>
          <dgm:constr type="alignOff" forName="rootnode" val="0.48"/>
          <dgm:constr type="primFontSz" for="des" forName="ParentText" val="65"/>
          <dgm:constr type="primFontSz" for="des" forName="ChildText" refType="primFontSz" refFor="des" refForName="ParentText" op="lte"/>
          <dgm:constr type="w" for="ch" forName="composite" refType="w"/>
          <dgm:constr type="h" for="ch" forName="composite" refType="h"/>
          <dgm:constr type="sp" refType="h" refFor="ch" refForName="composite" op="equ" fact="-0.38"/>
        </dgm:constrLst>
      </dgm:else>
    </dgm:choose>
    <dgm:forEach name="nodesForEach" axis="ch" ptType="node">
      <dgm:layoutNode name="composite">
        <dgm:alg type="composite">
          <dgm:param type="ar" val="1.2439"/>
        </dgm:alg>
        <dgm:shape xmlns:r="http://schemas.openxmlformats.org/officeDocument/2006/relationships" r:blip="">
          <dgm:adjLst/>
        </dgm:shape>
        <dgm:choose name="Name6">
          <dgm:if name="Name7" func="var" arg="dir" op="equ" val="norm">
            <dgm:constrLst>
              <dgm:constr type="l" for="ch" forName="bentUpArrow1" refType="w" fact="0.07"/>
              <dgm:constr type="t" for="ch" forName="bentUpArrow1" refType="h" fact="0.524"/>
              <dgm:constr type="w" for="ch" forName="bentUpArrow1" refType="w" fact="0.3844"/>
              <dgm:constr type="h" for="ch" forName="bentUpArrow1" refType="h" fact="0.42"/>
              <dgm:constr type="l" for="ch" forName="ParentText" refType="w" fact="0"/>
              <dgm:constr type="t" for="ch" forName="ParentText" refType="h" fact="0"/>
              <dgm:constr type="w" for="ch" forName="ParentText" refType="w" fact="0.5684"/>
              <dgm:constr type="h" for="ch" forName="ParentText" refType="h" fact="0.4949"/>
              <dgm:constr type="l" for="ch" forName="ChildText" refType="w" refFor="ch" refForName="ParentText"/>
              <dgm:constr type="t" for="ch" forName="ChildText" refType="h" fact="0.05"/>
              <dgm:constr type="w" for="ch" forName="ChildText" refType="w" fact="0.4134"/>
              <dgm:constr type="h" for="ch" forName="ChildText" refType="h" fact="0.4"/>
              <dgm:constr type="l" for="ch" forName="FinalChildText" refType="w" refFor="ch" refForName="ParentText"/>
              <dgm:constr type="t" for="ch" forName="FinalChildText" refType="h" fact="0.05"/>
              <dgm:constr type="w" for="ch" forName="FinalChildText" refType="w" fact="0.4134"/>
              <dgm:constr type="h" for="ch" forName="FinalChildText" refType="h" fact="0.4"/>
            </dgm:constrLst>
          </dgm:if>
          <dgm:else name="Name8">
            <dgm:constrLst>
              <dgm:constr type="r" for="ch" forName="bentUpArrow1" refType="w" fact="0.97"/>
              <dgm:constr type="t" for="ch" forName="bentUpArrow1" refType="h" fact="0.524"/>
              <dgm:constr type="w" for="ch" forName="bentUpArrow1" refType="w" fact="0.3844"/>
              <dgm:constr type="h" for="ch" forName="bentUpArrow1" refType="h" fact="0.42"/>
              <dgm:constr type="l" for="ch" forName="ParentText" refType="w" fact="0.4316"/>
              <dgm:constr type="t" for="ch" forName="ParentText" refType="h" fact="0"/>
              <dgm:constr type="w" for="ch" forName="ParentText" refType="w" fact="0.5684"/>
              <dgm:constr type="h" for="ch" forName="ParentText" refType="h" fact="0.4949"/>
              <dgm:constr type="l" for="ch" forName="ChildText" refType="w" fact="0"/>
              <dgm:constr type="t" for="ch" forName="ChildText" refType="h" fact="0.05"/>
              <dgm:constr type="w" for="ch" forName="ChildText" refType="w" fact="0.4134"/>
              <dgm:constr type="h" for="ch" forName="ChildText" refType="h" fact="0.4"/>
              <dgm:constr type="l" for="ch" forName="FinalChildText" refType="w" fact="0"/>
              <dgm:constr type="t" for="ch" forName="FinalChildText" refType="h" fact="0.05"/>
              <dgm:constr type="w" for="ch" forName="FinalChildText" refType="w" fact="0.4134"/>
              <dgm:constr type="h" for="ch" forName="FinalChildText" refType="h" fact="0.4"/>
            </dgm:constrLst>
          </dgm:else>
        </dgm:choose>
        <dgm:choose name="Name9">
          <dgm:if name="Name10" axis="followSib" ptType="node" func="cnt" op="gte" val="1">
            <dgm:layoutNode name="bentUpArrow1" styleLbl="alignImgPlace1">
              <dgm:alg type="sp"/>
              <dgm:choose name="Name11">
                <dgm:if name="Name12" func="var" arg="dir" op="equ" val="norm">
                  <dgm:shape xmlns:r="http://schemas.openxmlformats.org/officeDocument/2006/relationships" rot="90" type="bentUpArrow" r:blip="">
                    <dgm:adjLst>
                      <dgm:adj idx="1" val="0.3284"/>
                      <dgm:adj idx="2" val="0.25"/>
                      <dgm:adj idx="3" val="0.3578"/>
                    </dgm:adjLst>
                  </dgm:shape>
                </dgm:if>
                <dgm:else name="Name13">
                  <dgm:shape xmlns:r="http://schemas.openxmlformats.org/officeDocument/2006/relationships" rot="180" type="bentArrow" r:blip="">
                    <dgm:adjLst>
                      <dgm:adj idx="1" val="0.3284"/>
                      <dgm:adj idx="2" val="0.25"/>
                      <dgm:adj idx="3" val="0.3578"/>
                      <dgm:adj idx="4" val="0"/>
                    </dgm:adjLst>
                  </dgm:shape>
                </dgm:else>
              </dgm:choose>
              <dgm:presOf/>
            </dgm:layoutNode>
          </dgm:if>
          <dgm:else name="Name14"/>
        </dgm:choose>
        <dgm:layoutNode name="ParentText" styleLbl="node1">
          <dgm:varLst>
            <dgm:chMax val="1"/>
            <dgm:chPref val="1"/>
            <dgm:bulletEnabled val="1"/>
          </dgm:varLst>
          <dgm:alg type="tx"/>
          <dgm:shape xmlns:r="http://schemas.openxmlformats.org/officeDocument/2006/relationships" type="roundRect" r:blip="">
            <dgm:adjLst>
              <dgm:adj idx="1" val="0.1667"/>
            </dgm:adjLst>
          </dgm:shape>
          <dgm:presOf axis="self"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choose name="Name15">
          <dgm:if name="Name16" axis="followSib" ptType="node" func="cnt" op="equ" val="0">
            <dgm:choose name="Name17">
              <dgm:if name="Name18" axis="ch" ptType="node" func="cnt" op="gte" val="1">
                <dgm:layoutNode name="FinalChildText" styleLbl="revTx">
                  <dgm:varLst>
                    <dgm:chMax val="0"/>
                    <dgm:chPref val="0"/>
                    <dgm:bulletEnabled val="1"/>
                  </dgm:varLst>
                  <dgm:alg type="tx">
                    <dgm:param type="stBulletLvl" val="1"/>
                    <dgm:param type="txAnchorVertCh" val="mid"/>
                    <dgm:param type="parTxLTRAlign" val="l"/>
                  </dgm:alg>
                  <dgm:shape xmlns:r="http://schemas.openxmlformats.org/officeDocument/2006/relationships" type="rect" r:blip="">
                    <dgm:adjLst/>
                  </dgm:shape>
                  <dgm:presOf axis="des"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19"/>
            </dgm:choose>
          </dgm:if>
          <dgm:else name="Name20">
            <dgm:layoutNode name="ChildText" styleLbl="revTx">
              <dgm:varLst>
                <dgm:chMax val="0"/>
                <dgm:chPref val="0"/>
                <dgm:bulletEnabled val="1"/>
              </dgm:varLst>
              <dgm:alg type="tx">
                <dgm:param type="stBulletLvl" val="1"/>
                <dgm:param type="txAnchorVertCh" val="mid"/>
                <dgm:param type="parTxLTRAlign" val="l"/>
              </dgm:alg>
              <dgm:shape xmlns:r="http://schemas.openxmlformats.org/officeDocument/2006/relationships" type="rect" r:blip="">
                <dgm:adjLst/>
              </dgm:shape>
              <dgm:presOf axis="des"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else>
        </dgm:choose>
      </dgm:layoutNode>
      <dgm:forEach name="sibTransForEach" axis="followSib" ptType="sibTrans" cnt="1">
        <dgm:layoutNode name="sibTrans">
          <dgm:alg type="sp"/>
          <dgm:shape xmlns:r="http://schemas.openxmlformats.org/officeDocument/2006/relationships" r:blip="">
            <dgm:adjLst/>
          </dgm:shap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StepDownProcess">
  <dgm:title val=""/>
  <dgm:desc val=""/>
  <dgm:catLst>
    <dgm:cat type="process" pri="1600"/>
  </dgm:catLst>
  <dgm:sampData>
    <dgm:dataModel>
      <dgm:ptLst>
        <dgm:pt modelId="0" type="doc"/>
        <dgm:pt modelId="10">
          <dgm:prSet phldr="1"/>
        </dgm:pt>
        <dgm:pt modelId="11">
          <dgm:prSet phldr="1"/>
        </dgm:pt>
        <dgm:pt modelId="20">
          <dgm:prSet phldr="1"/>
        </dgm:pt>
        <dgm:pt modelId="21">
          <dgm:prSet phldr="1"/>
        </dgm:pt>
        <dgm:pt modelId="30">
          <dgm:prSet phldr="1"/>
        </dgm:pt>
        <dgm:pt modelId="31">
          <dgm:prSet phldr="1"/>
        </dgm:pt>
      </dgm:ptLst>
      <dgm:cxnLst>
        <dgm:cxn modelId="60" srcId="0" destId="10" srcOrd="0" destOrd="0"/>
        <dgm:cxn modelId="12" srcId="10" destId="11" srcOrd="0" destOrd="0"/>
        <dgm:cxn modelId="70" srcId="0" destId="20" srcOrd="1" destOrd="0"/>
        <dgm:cxn modelId="22" srcId="20" destId="21" srcOrd="0" destOrd="0"/>
        <dgm:cxn modelId="80" srcId="0" destId="30" srcOrd="2" destOrd="0"/>
        <dgm:cxn modelId="32" srcId="30" destId="31" srcOrd="0" destOrd="0"/>
      </dgm:cxnLst>
      <dgm:bg/>
      <dgm:whole/>
    </dgm:dataModel>
  </dgm:sampData>
  <dgm:styleData>
    <dgm:dataModel>
      <dgm:ptLst>
        <dgm:pt modelId="0" type="doc"/>
        <dgm:pt modelId="10">
          <dgm:prSet phldr="1"/>
        </dgm:pt>
        <dgm:pt modelId="20">
          <dgm:prSet phldr="1"/>
        </dgm:pt>
      </dgm:ptLst>
      <dgm:cxnLst>
        <dgm:cxn modelId="60" srcId="0" destId="10" srcOrd="0" destOrd="0"/>
        <dgm:cxn modelId="70" srcId="0" destId="20" srcOrd="1" destOrd="0"/>
      </dgm:cxnLst>
      <dgm:bg/>
      <dgm:whole/>
    </dgm:dataModel>
  </dgm:styleData>
  <dgm:clrData>
    <dgm:dataModel>
      <dgm:ptLst>
        <dgm:pt modelId="0" type="doc"/>
        <dgm:pt modelId="10">
          <dgm:prSet phldr="1"/>
        </dgm:pt>
        <dgm:pt modelId="20">
          <dgm:prSet phldr="1"/>
        </dgm:pt>
        <dgm:pt modelId="30">
          <dgm:prSet phldr="1"/>
        </dgm:pt>
        <dgm:pt modelId="40">
          <dgm:prSet phldr="1"/>
        </dgm:pt>
      </dgm:ptLst>
      <dgm:cxnLst>
        <dgm:cxn modelId="60" srcId="0" destId="10" srcOrd="0" destOrd="0"/>
        <dgm:cxn modelId="70" srcId="0" destId="20" srcOrd="1" destOrd="0"/>
        <dgm:cxn modelId="80" srcId="0" destId="30" srcOrd="2" destOrd="0"/>
        <dgm:cxn modelId="90" srcId="0" destId="40" srcOrd="3" destOrd="0"/>
      </dgm:cxnLst>
      <dgm:bg/>
      <dgm:whole/>
    </dgm:dataModel>
  </dgm:clrData>
  <dgm:layoutNode name="rootnode">
    <dgm:varLst>
      <dgm:chMax/>
      <dgm:chPref/>
      <dgm:dir/>
      <dgm:animLvl val="lvl"/>
    </dgm:varLst>
    <dgm:choose name="Name0">
      <dgm:if name="Name1" func="var" arg="dir" op="equ" val="norm">
        <dgm:alg type="snake">
          <dgm:param type="grDir" val="tL"/>
          <dgm:param type="flowDir" val="row"/>
          <dgm:param type="off" val="off"/>
          <dgm:param type="bkpt" val="fixed"/>
          <dgm:param type="bkPtFixedVal" val="1"/>
        </dgm:alg>
      </dgm:if>
      <dgm:else name="Name2">
        <dgm:alg type="snake">
          <dgm:param type="grDir" val="tR"/>
          <dgm:param type="flowDir" val="row"/>
          <dgm:param type="off" val="off"/>
          <dgm:param type="bkpt" val="fixed"/>
          <dgm:param type="bkPtFixedVal" val="1"/>
        </dgm:alg>
      </dgm:else>
    </dgm:choose>
    <dgm:shape xmlns:r="http://schemas.openxmlformats.org/officeDocument/2006/relationships" r:blip="">
      <dgm:adjLst/>
    </dgm:shape>
    <dgm:choose name="Name3">
      <dgm:if name="Name4" func="var" arg="dir" op="equ" val="norm">
        <dgm:constrLst>
          <dgm:constr type="alignOff" forName="rootnode" val="0.48"/>
          <dgm:constr type="primFontSz" for="des" forName="ParentText" val="65"/>
          <dgm:constr type="primFontSz" for="des" forName="ChildText" refType="primFontSz" refFor="des" refForName="ParentText" op="lte"/>
          <dgm:constr type="w" for="ch" forName="composite" refType="w"/>
          <dgm:constr type="h" for="ch" forName="composite" refType="h"/>
          <dgm:constr type="sp" refType="h" refFor="ch" refForName="composite" op="equ" fact="-0.38"/>
        </dgm:constrLst>
      </dgm:if>
      <dgm:else name="Name5">
        <dgm:constrLst>
          <dgm:constr type="alignOff" forName="rootnode" val="0.48"/>
          <dgm:constr type="primFontSz" for="des" forName="ParentText" val="65"/>
          <dgm:constr type="primFontSz" for="des" forName="ChildText" refType="primFontSz" refFor="des" refForName="ParentText" op="lte"/>
          <dgm:constr type="w" for="ch" forName="composite" refType="w"/>
          <dgm:constr type="h" for="ch" forName="composite" refType="h"/>
          <dgm:constr type="sp" refType="h" refFor="ch" refForName="composite" op="equ" fact="-0.38"/>
        </dgm:constrLst>
      </dgm:else>
    </dgm:choose>
    <dgm:forEach name="nodesForEach" axis="ch" ptType="node">
      <dgm:layoutNode name="composite">
        <dgm:alg type="composite">
          <dgm:param type="ar" val="1.2439"/>
        </dgm:alg>
        <dgm:shape xmlns:r="http://schemas.openxmlformats.org/officeDocument/2006/relationships" r:blip="">
          <dgm:adjLst/>
        </dgm:shape>
        <dgm:choose name="Name6">
          <dgm:if name="Name7" func="var" arg="dir" op="equ" val="norm">
            <dgm:constrLst>
              <dgm:constr type="l" for="ch" forName="bentUpArrow1" refType="w" fact="0.07"/>
              <dgm:constr type="t" for="ch" forName="bentUpArrow1" refType="h" fact="0.524"/>
              <dgm:constr type="w" for="ch" forName="bentUpArrow1" refType="w" fact="0.3844"/>
              <dgm:constr type="h" for="ch" forName="bentUpArrow1" refType="h" fact="0.42"/>
              <dgm:constr type="l" for="ch" forName="ParentText" refType="w" fact="0"/>
              <dgm:constr type="t" for="ch" forName="ParentText" refType="h" fact="0"/>
              <dgm:constr type="w" for="ch" forName="ParentText" refType="w" fact="0.5684"/>
              <dgm:constr type="h" for="ch" forName="ParentText" refType="h" fact="0.4949"/>
              <dgm:constr type="l" for="ch" forName="ChildText" refType="w" refFor="ch" refForName="ParentText"/>
              <dgm:constr type="t" for="ch" forName="ChildText" refType="h" fact="0.05"/>
              <dgm:constr type="w" for="ch" forName="ChildText" refType="w" fact="0.4134"/>
              <dgm:constr type="h" for="ch" forName="ChildText" refType="h" fact="0.4"/>
              <dgm:constr type="l" for="ch" forName="FinalChildText" refType="w" refFor="ch" refForName="ParentText"/>
              <dgm:constr type="t" for="ch" forName="FinalChildText" refType="h" fact="0.05"/>
              <dgm:constr type="w" for="ch" forName="FinalChildText" refType="w" fact="0.4134"/>
              <dgm:constr type="h" for="ch" forName="FinalChildText" refType="h" fact="0.4"/>
            </dgm:constrLst>
          </dgm:if>
          <dgm:else name="Name8">
            <dgm:constrLst>
              <dgm:constr type="r" for="ch" forName="bentUpArrow1" refType="w" fact="0.97"/>
              <dgm:constr type="t" for="ch" forName="bentUpArrow1" refType="h" fact="0.524"/>
              <dgm:constr type="w" for="ch" forName="bentUpArrow1" refType="w" fact="0.3844"/>
              <dgm:constr type="h" for="ch" forName="bentUpArrow1" refType="h" fact="0.42"/>
              <dgm:constr type="l" for="ch" forName="ParentText" refType="w" fact="0.4316"/>
              <dgm:constr type="t" for="ch" forName="ParentText" refType="h" fact="0"/>
              <dgm:constr type="w" for="ch" forName="ParentText" refType="w" fact="0.5684"/>
              <dgm:constr type="h" for="ch" forName="ParentText" refType="h" fact="0.4949"/>
              <dgm:constr type="l" for="ch" forName="ChildText" refType="w" fact="0"/>
              <dgm:constr type="t" for="ch" forName="ChildText" refType="h" fact="0.05"/>
              <dgm:constr type="w" for="ch" forName="ChildText" refType="w" fact="0.4134"/>
              <dgm:constr type="h" for="ch" forName="ChildText" refType="h" fact="0.4"/>
              <dgm:constr type="l" for="ch" forName="FinalChildText" refType="w" fact="0"/>
              <dgm:constr type="t" for="ch" forName="FinalChildText" refType="h" fact="0.05"/>
              <dgm:constr type="w" for="ch" forName="FinalChildText" refType="w" fact="0.4134"/>
              <dgm:constr type="h" for="ch" forName="FinalChildText" refType="h" fact="0.4"/>
            </dgm:constrLst>
          </dgm:else>
        </dgm:choose>
        <dgm:choose name="Name9">
          <dgm:if name="Name10" axis="followSib" ptType="node" func="cnt" op="gte" val="1">
            <dgm:layoutNode name="bentUpArrow1" styleLbl="alignImgPlace1">
              <dgm:alg type="sp"/>
              <dgm:choose name="Name11">
                <dgm:if name="Name12" func="var" arg="dir" op="equ" val="norm">
                  <dgm:shape xmlns:r="http://schemas.openxmlformats.org/officeDocument/2006/relationships" rot="90" type="bentUpArrow" r:blip="">
                    <dgm:adjLst>
                      <dgm:adj idx="1" val="0.3284"/>
                      <dgm:adj idx="2" val="0.25"/>
                      <dgm:adj idx="3" val="0.3578"/>
                    </dgm:adjLst>
                  </dgm:shape>
                </dgm:if>
                <dgm:else name="Name13">
                  <dgm:shape xmlns:r="http://schemas.openxmlformats.org/officeDocument/2006/relationships" rot="180" type="bentArrow" r:blip="">
                    <dgm:adjLst>
                      <dgm:adj idx="1" val="0.3284"/>
                      <dgm:adj idx="2" val="0.25"/>
                      <dgm:adj idx="3" val="0.3578"/>
                      <dgm:adj idx="4" val="0"/>
                    </dgm:adjLst>
                  </dgm:shape>
                </dgm:else>
              </dgm:choose>
              <dgm:presOf/>
            </dgm:layoutNode>
          </dgm:if>
          <dgm:else name="Name14"/>
        </dgm:choose>
        <dgm:layoutNode name="ParentText" styleLbl="node1">
          <dgm:varLst>
            <dgm:chMax val="1"/>
            <dgm:chPref val="1"/>
            <dgm:bulletEnabled val="1"/>
          </dgm:varLst>
          <dgm:alg type="tx"/>
          <dgm:shape xmlns:r="http://schemas.openxmlformats.org/officeDocument/2006/relationships" type="roundRect" r:blip="">
            <dgm:adjLst>
              <dgm:adj idx="1" val="0.1667"/>
            </dgm:adjLst>
          </dgm:shape>
          <dgm:presOf axis="self"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choose name="Name15">
          <dgm:if name="Name16" axis="followSib" ptType="node" func="cnt" op="equ" val="0">
            <dgm:choose name="Name17">
              <dgm:if name="Name18" axis="ch" ptType="node" func="cnt" op="gte" val="1">
                <dgm:layoutNode name="FinalChildText" styleLbl="revTx">
                  <dgm:varLst>
                    <dgm:chMax val="0"/>
                    <dgm:chPref val="0"/>
                    <dgm:bulletEnabled val="1"/>
                  </dgm:varLst>
                  <dgm:alg type="tx">
                    <dgm:param type="stBulletLvl" val="1"/>
                    <dgm:param type="txAnchorVertCh" val="mid"/>
                    <dgm:param type="parTxLTRAlign" val="l"/>
                  </dgm:alg>
                  <dgm:shape xmlns:r="http://schemas.openxmlformats.org/officeDocument/2006/relationships" type="rect" r:blip="">
                    <dgm:adjLst/>
                  </dgm:shape>
                  <dgm:presOf axis="des"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19"/>
            </dgm:choose>
          </dgm:if>
          <dgm:else name="Name20">
            <dgm:layoutNode name="ChildText" styleLbl="revTx">
              <dgm:varLst>
                <dgm:chMax val="0"/>
                <dgm:chPref val="0"/>
                <dgm:bulletEnabled val="1"/>
              </dgm:varLst>
              <dgm:alg type="tx">
                <dgm:param type="stBulletLvl" val="1"/>
                <dgm:param type="txAnchorVertCh" val="mid"/>
                <dgm:param type="parTxLTRAlign" val="l"/>
              </dgm:alg>
              <dgm:shape xmlns:r="http://schemas.openxmlformats.org/officeDocument/2006/relationships" type="rect" r:blip="">
                <dgm:adjLst/>
              </dgm:shape>
              <dgm:presOf axis="des"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else>
        </dgm:choose>
      </dgm:layoutNode>
      <dgm:forEach name="sibTransForEach" axis="followSib" ptType="sibTrans" cnt="1">
        <dgm:layoutNode name="sibTrans">
          <dgm:alg type="sp"/>
          <dgm:shape xmlns:r="http://schemas.openxmlformats.org/officeDocument/2006/relationships" r:blip="">
            <dgm:adjLst/>
          </dgm:shap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StepDownProcess">
  <dgm:title val=""/>
  <dgm:desc val=""/>
  <dgm:catLst>
    <dgm:cat type="process" pri="1600"/>
  </dgm:catLst>
  <dgm:sampData>
    <dgm:dataModel>
      <dgm:ptLst>
        <dgm:pt modelId="0" type="doc"/>
        <dgm:pt modelId="10">
          <dgm:prSet phldr="1"/>
        </dgm:pt>
        <dgm:pt modelId="11">
          <dgm:prSet phldr="1"/>
        </dgm:pt>
        <dgm:pt modelId="20">
          <dgm:prSet phldr="1"/>
        </dgm:pt>
        <dgm:pt modelId="21">
          <dgm:prSet phldr="1"/>
        </dgm:pt>
        <dgm:pt modelId="30">
          <dgm:prSet phldr="1"/>
        </dgm:pt>
        <dgm:pt modelId="31">
          <dgm:prSet phldr="1"/>
        </dgm:pt>
      </dgm:ptLst>
      <dgm:cxnLst>
        <dgm:cxn modelId="60" srcId="0" destId="10" srcOrd="0" destOrd="0"/>
        <dgm:cxn modelId="12" srcId="10" destId="11" srcOrd="0" destOrd="0"/>
        <dgm:cxn modelId="70" srcId="0" destId="20" srcOrd="1" destOrd="0"/>
        <dgm:cxn modelId="22" srcId="20" destId="21" srcOrd="0" destOrd="0"/>
        <dgm:cxn modelId="80" srcId="0" destId="30" srcOrd="2" destOrd="0"/>
        <dgm:cxn modelId="32" srcId="30" destId="31" srcOrd="0" destOrd="0"/>
      </dgm:cxnLst>
      <dgm:bg/>
      <dgm:whole/>
    </dgm:dataModel>
  </dgm:sampData>
  <dgm:styleData>
    <dgm:dataModel>
      <dgm:ptLst>
        <dgm:pt modelId="0" type="doc"/>
        <dgm:pt modelId="10">
          <dgm:prSet phldr="1"/>
        </dgm:pt>
        <dgm:pt modelId="20">
          <dgm:prSet phldr="1"/>
        </dgm:pt>
      </dgm:ptLst>
      <dgm:cxnLst>
        <dgm:cxn modelId="60" srcId="0" destId="10" srcOrd="0" destOrd="0"/>
        <dgm:cxn modelId="70" srcId="0" destId="20" srcOrd="1" destOrd="0"/>
      </dgm:cxnLst>
      <dgm:bg/>
      <dgm:whole/>
    </dgm:dataModel>
  </dgm:styleData>
  <dgm:clrData>
    <dgm:dataModel>
      <dgm:ptLst>
        <dgm:pt modelId="0" type="doc"/>
        <dgm:pt modelId="10">
          <dgm:prSet phldr="1"/>
        </dgm:pt>
        <dgm:pt modelId="20">
          <dgm:prSet phldr="1"/>
        </dgm:pt>
        <dgm:pt modelId="30">
          <dgm:prSet phldr="1"/>
        </dgm:pt>
        <dgm:pt modelId="40">
          <dgm:prSet phldr="1"/>
        </dgm:pt>
      </dgm:ptLst>
      <dgm:cxnLst>
        <dgm:cxn modelId="60" srcId="0" destId="10" srcOrd="0" destOrd="0"/>
        <dgm:cxn modelId="70" srcId="0" destId="20" srcOrd="1" destOrd="0"/>
        <dgm:cxn modelId="80" srcId="0" destId="30" srcOrd="2" destOrd="0"/>
        <dgm:cxn modelId="90" srcId="0" destId="40" srcOrd="3" destOrd="0"/>
      </dgm:cxnLst>
      <dgm:bg/>
      <dgm:whole/>
    </dgm:dataModel>
  </dgm:clrData>
  <dgm:layoutNode name="rootnode">
    <dgm:varLst>
      <dgm:chMax/>
      <dgm:chPref/>
      <dgm:dir/>
      <dgm:animLvl val="lvl"/>
    </dgm:varLst>
    <dgm:choose name="Name0">
      <dgm:if name="Name1" func="var" arg="dir" op="equ" val="norm">
        <dgm:alg type="snake">
          <dgm:param type="grDir" val="tL"/>
          <dgm:param type="flowDir" val="row"/>
          <dgm:param type="off" val="off"/>
          <dgm:param type="bkpt" val="fixed"/>
          <dgm:param type="bkPtFixedVal" val="1"/>
        </dgm:alg>
      </dgm:if>
      <dgm:else name="Name2">
        <dgm:alg type="snake">
          <dgm:param type="grDir" val="tR"/>
          <dgm:param type="flowDir" val="row"/>
          <dgm:param type="off" val="off"/>
          <dgm:param type="bkpt" val="fixed"/>
          <dgm:param type="bkPtFixedVal" val="1"/>
        </dgm:alg>
      </dgm:else>
    </dgm:choose>
    <dgm:shape xmlns:r="http://schemas.openxmlformats.org/officeDocument/2006/relationships" r:blip="">
      <dgm:adjLst/>
    </dgm:shape>
    <dgm:choose name="Name3">
      <dgm:if name="Name4" func="var" arg="dir" op="equ" val="norm">
        <dgm:constrLst>
          <dgm:constr type="alignOff" forName="rootnode" val="0.48"/>
          <dgm:constr type="primFontSz" for="des" forName="ParentText" val="65"/>
          <dgm:constr type="primFontSz" for="des" forName="ChildText" refType="primFontSz" refFor="des" refForName="ParentText" op="lte"/>
          <dgm:constr type="w" for="ch" forName="composite" refType="w"/>
          <dgm:constr type="h" for="ch" forName="composite" refType="h"/>
          <dgm:constr type="sp" refType="h" refFor="ch" refForName="composite" op="equ" fact="-0.38"/>
        </dgm:constrLst>
      </dgm:if>
      <dgm:else name="Name5">
        <dgm:constrLst>
          <dgm:constr type="alignOff" forName="rootnode" val="0.48"/>
          <dgm:constr type="primFontSz" for="des" forName="ParentText" val="65"/>
          <dgm:constr type="primFontSz" for="des" forName="ChildText" refType="primFontSz" refFor="des" refForName="ParentText" op="lte"/>
          <dgm:constr type="w" for="ch" forName="composite" refType="w"/>
          <dgm:constr type="h" for="ch" forName="composite" refType="h"/>
          <dgm:constr type="sp" refType="h" refFor="ch" refForName="composite" op="equ" fact="-0.38"/>
        </dgm:constrLst>
      </dgm:else>
    </dgm:choose>
    <dgm:forEach name="nodesForEach" axis="ch" ptType="node">
      <dgm:layoutNode name="composite">
        <dgm:alg type="composite">
          <dgm:param type="ar" val="1.2439"/>
        </dgm:alg>
        <dgm:shape xmlns:r="http://schemas.openxmlformats.org/officeDocument/2006/relationships" r:blip="">
          <dgm:adjLst/>
        </dgm:shape>
        <dgm:choose name="Name6">
          <dgm:if name="Name7" func="var" arg="dir" op="equ" val="norm">
            <dgm:constrLst>
              <dgm:constr type="l" for="ch" forName="bentUpArrow1" refType="w" fact="0.07"/>
              <dgm:constr type="t" for="ch" forName="bentUpArrow1" refType="h" fact="0.524"/>
              <dgm:constr type="w" for="ch" forName="bentUpArrow1" refType="w" fact="0.3844"/>
              <dgm:constr type="h" for="ch" forName="bentUpArrow1" refType="h" fact="0.42"/>
              <dgm:constr type="l" for="ch" forName="ParentText" refType="w" fact="0"/>
              <dgm:constr type="t" for="ch" forName="ParentText" refType="h" fact="0"/>
              <dgm:constr type="w" for="ch" forName="ParentText" refType="w" fact="0.5684"/>
              <dgm:constr type="h" for="ch" forName="ParentText" refType="h" fact="0.4949"/>
              <dgm:constr type="l" for="ch" forName="ChildText" refType="w" refFor="ch" refForName="ParentText"/>
              <dgm:constr type="t" for="ch" forName="ChildText" refType="h" fact="0.05"/>
              <dgm:constr type="w" for="ch" forName="ChildText" refType="w" fact="0.4134"/>
              <dgm:constr type="h" for="ch" forName="ChildText" refType="h" fact="0.4"/>
              <dgm:constr type="l" for="ch" forName="FinalChildText" refType="w" refFor="ch" refForName="ParentText"/>
              <dgm:constr type="t" for="ch" forName="FinalChildText" refType="h" fact="0.05"/>
              <dgm:constr type="w" for="ch" forName="FinalChildText" refType="w" fact="0.4134"/>
              <dgm:constr type="h" for="ch" forName="FinalChildText" refType="h" fact="0.4"/>
            </dgm:constrLst>
          </dgm:if>
          <dgm:else name="Name8">
            <dgm:constrLst>
              <dgm:constr type="r" for="ch" forName="bentUpArrow1" refType="w" fact="0.97"/>
              <dgm:constr type="t" for="ch" forName="bentUpArrow1" refType="h" fact="0.524"/>
              <dgm:constr type="w" for="ch" forName="bentUpArrow1" refType="w" fact="0.3844"/>
              <dgm:constr type="h" for="ch" forName="bentUpArrow1" refType="h" fact="0.42"/>
              <dgm:constr type="l" for="ch" forName="ParentText" refType="w" fact="0.4316"/>
              <dgm:constr type="t" for="ch" forName="ParentText" refType="h" fact="0"/>
              <dgm:constr type="w" for="ch" forName="ParentText" refType="w" fact="0.5684"/>
              <dgm:constr type="h" for="ch" forName="ParentText" refType="h" fact="0.4949"/>
              <dgm:constr type="l" for="ch" forName="ChildText" refType="w" fact="0"/>
              <dgm:constr type="t" for="ch" forName="ChildText" refType="h" fact="0.05"/>
              <dgm:constr type="w" for="ch" forName="ChildText" refType="w" fact="0.4134"/>
              <dgm:constr type="h" for="ch" forName="ChildText" refType="h" fact="0.4"/>
              <dgm:constr type="l" for="ch" forName="FinalChildText" refType="w" fact="0"/>
              <dgm:constr type="t" for="ch" forName="FinalChildText" refType="h" fact="0.05"/>
              <dgm:constr type="w" for="ch" forName="FinalChildText" refType="w" fact="0.4134"/>
              <dgm:constr type="h" for="ch" forName="FinalChildText" refType="h" fact="0.4"/>
            </dgm:constrLst>
          </dgm:else>
        </dgm:choose>
        <dgm:choose name="Name9">
          <dgm:if name="Name10" axis="followSib" ptType="node" func="cnt" op="gte" val="1">
            <dgm:layoutNode name="bentUpArrow1" styleLbl="alignImgPlace1">
              <dgm:alg type="sp"/>
              <dgm:choose name="Name11">
                <dgm:if name="Name12" func="var" arg="dir" op="equ" val="norm">
                  <dgm:shape xmlns:r="http://schemas.openxmlformats.org/officeDocument/2006/relationships" rot="90" type="bentUpArrow" r:blip="">
                    <dgm:adjLst>
                      <dgm:adj idx="1" val="0.3284"/>
                      <dgm:adj idx="2" val="0.25"/>
                      <dgm:adj idx="3" val="0.3578"/>
                    </dgm:adjLst>
                  </dgm:shape>
                </dgm:if>
                <dgm:else name="Name13">
                  <dgm:shape xmlns:r="http://schemas.openxmlformats.org/officeDocument/2006/relationships" rot="180" type="bentArrow" r:blip="">
                    <dgm:adjLst>
                      <dgm:adj idx="1" val="0.3284"/>
                      <dgm:adj idx="2" val="0.25"/>
                      <dgm:adj idx="3" val="0.3578"/>
                      <dgm:adj idx="4" val="0"/>
                    </dgm:adjLst>
                  </dgm:shape>
                </dgm:else>
              </dgm:choose>
              <dgm:presOf/>
            </dgm:layoutNode>
          </dgm:if>
          <dgm:else name="Name14"/>
        </dgm:choose>
        <dgm:layoutNode name="ParentText" styleLbl="node1">
          <dgm:varLst>
            <dgm:chMax val="1"/>
            <dgm:chPref val="1"/>
            <dgm:bulletEnabled val="1"/>
          </dgm:varLst>
          <dgm:alg type="tx"/>
          <dgm:shape xmlns:r="http://schemas.openxmlformats.org/officeDocument/2006/relationships" type="roundRect" r:blip="">
            <dgm:adjLst>
              <dgm:adj idx="1" val="0.1667"/>
            </dgm:adjLst>
          </dgm:shape>
          <dgm:presOf axis="self"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choose name="Name15">
          <dgm:if name="Name16" axis="followSib" ptType="node" func="cnt" op="equ" val="0">
            <dgm:choose name="Name17">
              <dgm:if name="Name18" axis="ch" ptType="node" func="cnt" op="gte" val="1">
                <dgm:layoutNode name="FinalChildText" styleLbl="revTx">
                  <dgm:varLst>
                    <dgm:chMax val="0"/>
                    <dgm:chPref val="0"/>
                    <dgm:bulletEnabled val="1"/>
                  </dgm:varLst>
                  <dgm:alg type="tx">
                    <dgm:param type="stBulletLvl" val="1"/>
                    <dgm:param type="txAnchorVertCh" val="mid"/>
                    <dgm:param type="parTxLTRAlign" val="l"/>
                  </dgm:alg>
                  <dgm:shape xmlns:r="http://schemas.openxmlformats.org/officeDocument/2006/relationships" type="rect" r:blip="">
                    <dgm:adjLst/>
                  </dgm:shape>
                  <dgm:presOf axis="des"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19"/>
            </dgm:choose>
          </dgm:if>
          <dgm:else name="Name20">
            <dgm:layoutNode name="ChildText" styleLbl="revTx">
              <dgm:varLst>
                <dgm:chMax val="0"/>
                <dgm:chPref val="0"/>
                <dgm:bulletEnabled val="1"/>
              </dgm:varLst>
              <dgm:alg type="tx">
                <dgm:param type="stBulletLvl" val="1"/>
                <dgm:param type="txAnchorVertCh" val="mid"/>
                <dgm:param type="parTxLTRAlign" val="l"/>
              </dgm:alg>
              <dgm:shape xmlns:r="http://schemas.openxmlformats.org/officeDocument/2006/relationships" type="rect" r:blip="">
                <dgm:adjLst/>
              </dgm:shape>
              <dgm:presOf axis="des"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else>
        </dgm:choose>
      </dgm:layoutNode>
      <dgm:forEach name="sibTransForEach" axis="followSib" ptType="sibTrans" cnt="1">
        <dgm:layoutNode name="sibTrans">
          <dgm:alg type="sp"/>
          <dgm:shape xmlns:r="http://schemas.openxmlformats.org/officeDocument/2006/relationships" r:blip="">
            <dgm:adjLst/>
          </dgm:shape>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StepDownProcess">
  <dgm:title val=""/>
  <dgm:desc val=""/>
  <dgm:catLst>
    <dgm:cat type="process" pri="1600"/>
  </dgm:catLst>
  <dgm:sampData>
    <dgm:dataModel>
      <dgm:ptLst>
        <dgm:pt modelId="0" type="doc"/>
        <dgm:pt modelId="10">
          <dgm:prSet phldr="1"/>
        </dgm:pt>
        <dgm:pt modelId="11">
          <dgm:prSet phldr="1"/>
        </dgm:pt>
        <dgm:pt modelId="20">
          <dgm:prSet phldr="1"/>
        </dgm:pt>
        <dgm:pt modelId="21">
          <dgm:prSet phldr="1"/>
        </dgm:pt>
        <dgm:pt modelId="30">
          <dgm:prSet phldr="1"/>
        </dgm:pt>
        <dgm:pt modelId="31">
          <dgm:prSet phldr="1"/>
        </dgm:pt>
      </dgm:ptLst>
      <dgm:cxnLst>
        <dgm:cxn modelId="60" srcId="0" destId="10" srcOrd="0" destOrd="0"/>
        <dgm:cxn modelId="12" srcId="10" destId="11" srcOrd="0" destOrd="0"/>
        <dgm:cxn modelId="70" srcId="0" destId="20" srcOrd="1" destOrd="0"/>
        <dgm:cxn modelId="22" srcId="20" destId="21" srcOrd="0" destOrd="0"/>
        <dgm:cxn modelId="80" srcId="0" destId="30" srcOrd="2" destOrd="0"/>
        <dgm:cxn modelId="32" srcId="30" destId="31" srcOrd="0" destOrd="0"/>
      </dgm:cxnLst>
      <dgm:bg/>
      <dgm:whole/>
    </dgm:dataModel>
  </dgm:sampData>
  <dgm:styleData>
    <dgm:dataModel>
      <dgm:ptLst>
        <dgm:pt modelId="0" type="doc"/>
        <dgm:pt modelId="10">
          <dgm:prSet phldr="1"/>
        </dgm:pt>
        <dgm:pt modelId="20">
          <dgm:prSet phldr="1"/>
        </dgm:pt>
      </dgm:ptLst>
      <dgm:cxnLst>
        <dgm:cxn modelId="60" srcId="0" destId="10" srcOrd="0" destOrd="0"/>
        <dgm:cxn modelId="70" srcId="0" destId="20" srcOrd="1" destOrd="0"/>
      </dgm:cxnLst>
      <dgm:bg/>
      <dgm:whole/>
    </dgm:dataModel>
  </dgm:styleData>
  <dgm:clrData>
    <dgm:dataModel>
      <dgm:ptLst>
        <dgm:pt modelId="0" type="doc"/>
        <dgm:pt modelId="10">
          <dgm:prSet phldr="1"/>
        </dgm:pt>
        <dgm:pt modelId="20">
          <dgm:prSet phldr="1"/>
        </dgm:pt>
        <dgm:pt modelId="30">
          <dgm:prSet phldr="1"/>
        </dgm:pt>
        <dgm:pt modelId="40">
          <dgm:prSet phldr="1"/>
        </dgm:pt>
      </dgm:ptLst>
      <dgm:cxnLst>
        <dgm:cxn modelId="60" srcId="0" destId="10" srcOrd="0" destOrd="0"/>
        <dgm:cxn modelId="70" srcId="0" destId="20" srcOrd="1" destOrd="0"/>
        <dgm:cxn modelId="80" srcId="0" destId="30" srcOrd="2" destOrd="0"/>
        <dgm:cxn modelId="90" srcId="0" destId="40" srcOrd="3" destOrd="0"/>
      </dgm:cxnLst>
      <dgm:bg/>
      <dgm:whole/>
    </dgm:dataModel>
  </dgm:clrData>
  <dgm:layoutNode name="rootnode">
    <dgm:varLst>
      <dgm:chMax/>
      <dgm:chPref/>
      <dgm:dir/>
      <dgm:animLvl val="lvl"/>
    </dgm:varLst>
    <dgm:choose name="Name0">
      <dgm:if name="Name1" func="var" arg="dir" op="equ" val="norm">
        <dgm:alg type="snake">
          <dgm:param type="grDir" val="tL"/>
          <dgm:param type="flowDir" val="row"/>
          <dgm:param type="off" val="off"/>
          <dgm:param type="bkpt" val="fixed"/>
          <dgm:param type="bkPtFixedVal" val="1"/>
        </dgm:alg>
      </dgm:if>
      <dgm:else name="Name2">
        <dgm:alg type="snake">
          <dgm:param type="grDir" val="tR"/>
          <dgm:param type="flowDir" val="row"/>
          <dgm:param type="off" val="off"/>
          <dgm:param type="bkpt" val="fixed"/>
          <dgm:param type="bkPtFixedVal" val="1"/>
        </dgm:alg>
      </dgm:else>
    </dgm:choose>
    <dgm:shape xmlns:r="http://schemas.openxmlformats.org/officeDocument/2006/relationships" r:blip="">
      <dgm:adjLst/>
    </dgm:shape>
    <dgm:choose name="Name3">
      <dgm:if name="Name4" func="var" arg="dir" op="equ" val="norm">
        <dgm:constrLst>
          <dgm:constr type="alignOff" forName="rootnode" val="0.48"/>
          <dgm:constr type="primFontSz" for="des" forName="ParentText" val="65"/>
          <dgm:constr type="primFontSz" for="des" forName="ChildText" refType="primFontSz" refFor="des" refForName="ParentText" op="lte"/>
          <dgm:constr type="w" for="ch" forName="composite" refType="w"/>
          <dgm:constr type="h" for="ch" forName="composite" refType="h"/>
          <dgm:constr type="sp" refType="h" refFor="ch" refForName="composite" op="equ" fact="-0.38"/>
        </dgm:constrLst>
      </dgm:if>
      <dgm:else name="Name5">
        <dgm:constrLst>
          <dgm:constr type="alignOff" forName="rootnode" val="0.48"/>
          <dgm:constr type="primFontSz" for="des" forName="ParentText" val="65"/>
          <dgm:constr type="primFontSz" for="des" forName="ChildText" refType="primFontSz" refFor="des" refForName="ParentText" op="lte"/>
          <dgm:constr type="w" for="ch" forName="composite" refType="w"/>
          <dgm:constr type="h" for="ch" forName="composite" refType="h"/>
          <dgm:constr type="sp" refType="h" refFor="ch" refForName="composite" op="equ" fact="-0.38"/>
        </dgm:constrLst>
      </dgm:else>
    </dgm:choose>
    <dgm:forEach name="nodesForEach" axis="ch" ptType="node">
      <dgm:layoutNode name="composite">
        <dgm:alg type="composite">
          <dgm:param type="ar" val="1.2439"/>
        </dgm:alg>
        <dgm:shape xmlns:r="http://schemas.openxmlformats.org/officeDocument/2006/relationships" r:blip="">
          <dgm:adjLst/>
        </dgm:shape>
        <dgm:choose name="Name6">
          <dgm:if name="Name7" func="var" arg="dir" op="equ" val="norm">
            <dgm:constrLst>
              <dgm:constr type="l" for="ch" forName="bentUpArrow1" refType="w" fact="0.07"/>
              <dgm:constr type="t" for="ch" forName="bentUpArrow1" refType="h" fact="0.524"/>
              <dgm:constr type="w" for="ch" forName="bentUpArrow1" refType="w" fact="0.3844"/>
              <dgm:constr type="h" for="ch" forName="bentUpArrow1" refType="h" fact="0.42"/>
              <dgm:constr type="l" for="ch" forName="ParentText" refType="w" fact="0"/>
              <dgm:constr type="t" for="ch" forName="ParentText" refType="h" fact="0"/>
              <dgm:constr type="w" for="ch" forName="ParentText" refType="w" fact="0.5684"/>
              <dgm:constr type="h" for="ch" forName="ParentText" refType="h" fact="0.4949"/>
              <dgm:constr type="l" for="ch" forName="ChildText" refType="w" refFor="ch" refForName="ParentText"/>
              <dgm:constr type="t" for="ch" forName="ChildText" refType="h" fact="0.05"/>
              <dgm:constr type="w" for="ch" forName="ChildText" refType="w" fact="0.4134"/>
              <dgm:constr type="h" for="ch" forName="ChildText" refType="h" fact="0.4"/>
              <dgm:constr type="l" for="ch" forName="FinalChildText" refType="w" refFor="ch" refForName="ParentText"/>
              <dgm:constr type="t" for="ch" forName="FinalChildText" refType="h" fact="0.05"/>
              <dgm:constr type="w" for="ch" forName="FinalChildText" refType="w" fact="0.4134"/>
              <dgm:constr type="h" for="ch" forName="FinalChildText" refType="h" fact="0.4"/>
            </dgm:constrLst>
          </dgm:if>
          <dgm:else name="Name8">
            <dgm:constrLst>
              <dgm:constr type="r" for="ch" forName="bentUpArrow1" refType="w" fact="0.97"/>
              <dgm:constr type="t" for="ch" forName="bentUpArrow1" refType="h" fact="0.524"/>
              <dgm:constr type="w" for="ch" forName="bentUpArrow1" refType="w" fact="0.3844"/>
              <dgm:constr type="h" for="ch" forName="bentUpArrow1" refType="h" fact="0.42"/>
              <dgm:constr type="l" for="ch" forName="ParentText" refType="w" fact="0.4316"/>
              <dgm:constr type="t" for="ch" forName="ParentText" refType="h" fact="0"/>
              <dgm:constr type="w" for="ch" forName="ParentText" refType="w" fact="0.5684"/>
              <dgm:constr type="h" for="ch" forName="ParentText" refType="h" fact="0.4949"/>
              <dgm:constr type="l" for="ch" forName="ChildText" refType="w" fact="0"/>
              <dgm:constr type="t" for="ch" forName="ChildText" refType="h" fact="0.05"/>
              <dgm:constr type="w" for="ch" forName="ChildText" refType="w" fact="0.4134"/>
              <dgm:constr type="h" for="ch" forName="ChildText" refType="h" fact="0.4"/>
              <dgm:constr type="l" for="ch" forName="FinalChildText" refType="w" fact="0"/>
              <dgm:constr type="t" for="ch" forName="FinalChildText" refType="h" fact="0.05"/>
              <dgm:constr type="w" for="ch" forName="FinalChildText" refType="w" fact="0.4134"/>
              <dgm:constr type="h" for="ch" forName="FinalChildText" refType="h" fact="0.4"/>
            </dgm:constrLst>
          </dgm:else>
        </dgm:choose>
        <dgm:choose name="Name9">
          <dgm:if name="Name10" axis="followSib" ptType="node" func="cnt" op="gte" val="1">
            <dgm:layoutNode name="bentUpArrow1" styleLbl="alignImgPlace1">
              <dgm:alg type="sp"/>
              <dgm:choose name="Name11">
                <dgm:if name="Name12" func="var" arg="dir" op="equ" val="norm">
                  <dgm:shape xmlns:r="http://schemas.openxmlformats.org/officeDocument/2006/relationships" rot="90" type="bentUpArrow" r:blip="">
                    <dgm:adjLst>
                      <dgm:adj idx="1" val="0.3284"/>
                      <dgm:adj idx="2" val="0.25"/>
                      <dgm:adj idx="3" val="0.3578"/>
                    </dgm:adjLst>
                  </dgm:shape>
                </dgm:if>
                <dgm:else name="Name13">
                  <dgm:shape xmlns:r="http://schemas.openxmlformats.org/officeDocument/2006/relationships" rot="180" type="bentArrow" r:blip="">
                    <dgm:adjLst>
                      <dgm:adj idx="1" val="0.3284"/>
                      <dgm:adj idx="2" val="0.25"/>
                      <dgm:adj idx="3" val="0.3578"/>
                      <dgm:adj idx="4" val="0"/>
                    </dgm:adjLst>
                  </dgm:shape>
                </dgm:else>
              </dgm:choose>
              <dgm:presOf/>
            </dgm:layoutNode>
          </dgm:if>
          <dgm:else name="Name14"/>
        </dgm:choose>
        <dgm:layoutNode name="ParentText" styleLbl="node1">
          <dgm:varLst>
            <dgm:chMax val="1"/>
            <dgm:chPref val="1"/>
            <dgm:bulletEnabled val="1"/>
          </dgm:varLst>
          <dgm:alg type="tx"/>
          <dgm:shape xmlns:r="http://schemas.openxmlformats.org/officeDocument/2006/relationships" type="roundRect" r:blip="">
            <dgm:adjLst>
              <dgm:adj idx="1" val="0.1667"/>
            </dgm:adjLst>
          </dgm:shape>
          <dgm:presOf axis="self"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choose name="Name15">
          <dgm:if name="Name16" axis="followSib" ptType="node" func="cnt" op="equ" val="0">
            <dgm:choose name="Name17">
              <dgm:if name="Name18" axis="ch" ptType="node" func="cnt" op="gte" val="1">
                <dgm:layoutNode name="FinalChildText" styleLbl="revTx">
                  <dgm:varLst>
                    <dgm:chMax val="0"/>
                    <dgm:chPref val="0"/>
                    <dgm:bulletEnabled val="1"/>
                  </dgm:varLst>
                  <dgm:alg type="tx">
                    <dgm:param type="stBulletLvl" val="1"/>
                    <dgm:param type="txAnchorVertCh" val="mid"/>
                    <dgm:param type="parTxLTRAlign" val="l"/>
                  </dgm:alg>
                  <dgm:shape xmlns:r="http://schemas.openxmlformats.org/officeDocument/2006/relationships" type="rect" r:blip="">
                    <dgm:adjLst/>
                  </dgm:shape>
                  <dgm:presOf axis="des"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19"/>
            </dgm:choose>
          </dgm:if>
          <dgm:else name="Name20">
            <dgm:layoutNode name="ChildText" styleLbl="revTx">
              <dgm:varLst>
                <dgm:chMax val="0"/>
                <dgm:chPref val="0"/>
                <dgm:bulletEnabled val="1"/>
              </dgm:varLst>
              <dgm:alg type="tx">
                <dgm:param type="stBulletLvl" val="1"/>
                <dgm:param type="txAnchorVertCh" val="mid"/>
                <dgm:param type="parTxLTRAlign" val="l"/>
              </dgm:alg>
              <dgm:shape xmlns:r="http://schemas.openxmlformats.org/officeDocument/2006/relationships" type="rect" r:blip="">
                <dgm:adjLst/>
              </dgm:shape>
              <dgm:presOf axis="des"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else>
        </dgm:choose>
      </dgm:layoutNode>
      <dgm:forEach name="sibTransForEach" axis="followSib" ptType="sibTrans" cnt="1">
        <dgm:layoutNode name="sibTrans">
          <dgm:alg type="sp"/>
          <dgm:shape xmlns:r="http://schemas.openxmlformats.org/officeDocument/2006/relationships" r:blip="">
            <dgm:adjLst/>
          </dgm:shap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18" Type="http://schemas.openxmlformats.org/officeDocument/2006/relationships/diagramQuickStyle" Target="../diagrams/quickStyle4.xml"/><Relationship Id="rId3" Type="http://schemas.openxmlformats.org/officeDocument/2006/relationships/diagramQuickStyle" Target="../diagrams/quickStyle1.xml"/><Relationship Id="rId21" Type="http://schemas.openxmlformats.org/officeDocument/2006/relationships/image" Target="../media/image1.png"/><Relationship Id="rId7" Type="http://schemas.openxmlformats.org/officeDocument/2006/relationships/diagramLayout" Target="../diagrams/layout2.xml"/><Relationship Id="rId12" Type="http://schemas.openxmlformats.org/officeDocument/2006/relationships/diagramLayout" Target="../diagrams/layout3.xml"/><Relationship Id="rId17" Type="http://schemas.openxmlformats.org/officeDocument/2006/relationships/diagramLayout" Target="../diagrams/layout4.xml"/><Relationship Id="rId2" Type="http://schemas.openxmlformats.org/officeDocument/2006/relationships/diagramLayout" Target="../diagrams/layout1.xml"/><Relationship Id="rId16" Type="http://schemas.openxmlformats.org/officeDocument/2006/relationships/diagramData" Target="../diagrams/data4.xml"/><Relationship Id="rId20" Type="http://schemas.microsoft.com/office/2007/relationships/diagramDrawing" Target="../diagrams/drawing4.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19" Type="http://schemas.openxmlformats.org/officeDocument/2006/relationships/diagramColors" Target="../diagrams/colors4.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6350</xdr:colOff>
      <xdr:row>3</xdr:row>
      <xdr:rowOff>176210</xdr:rowOff>
    </xdr:from>
    <xdr:to>
      <xdr:col>11</xdr:col>
      <xdr:colOff>563562</xdr:colOff>
      <xdr:row>10</xdr:row>
      <xdr:rowOff>38098</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7538" y="723898"/>
          <a:ext cx="6669087" cy="1139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2">
                  <a:lumMod val="50000"/>
                </a:schemeClr>
              </a:solidFill>
              <a:latin typeface="Adobe Fan Heiti Std B" panose="020B0700000000000000" pitchFamily="34" charset="-128"/>
              <a:ea typeface="Adobe Fan Heiti Std B" panose="020B0700000000000000" pitchFamily="34" charset="-128"/>
            </a:rPr>
            <a:t>Project Name:</a:t>
          </a:r>
          <a:r>
            <a:rPr lang="en-US" sz="1600" baseline="0">
              <a:solidFill>
                <a:schemeClr val="bg2">
                  <a:lumMod val="50000"/>
                </a:schemeClr>
              </a:solidFill>
              <a:latin typeface="Adobe Fan Heiti Std B" panose="020B0700000000000000" pitchFamily="34" charset="-128"/>
              <a:ea typeface="Adobe Fan Heiti Std B" panose="020B0700000000000000" pitchFamily="34" charset="-128"/>
            </a:rPr>
            <a:t> Instacart Grocery Basket Analysis</a:t>
          </a:r>
        </a:p>
        <a:p>
          <a:r>
            <a:rPr lang="en-US" sz="1600" baseline="0">
              <a:solidFill>
                <a:schemeClr val="bg2">
                  <a:lumMod val="50000"/>
                </a:schemeClr>
              </a:solidFill>
              <a:latin typeface="Adobe Fan Heiti Std B" panose="020B0700000000000000" pitchFamily="34" charset="-128"/>
              <a:ea typeface="Adobe Fan Heiti Std B" panose="020B0700000000000000" pitchFamily="34" charset="-128"/>
            </a:rPr>
            <a:t>Date: March 2024</a:t>
          </a:r>
        </a:p>
        <a:p>
          <a:r>
            <a:rPr lang="en-US" sz="1600" baseline="0">
              <a:solidFill>
                <a:schemeClr val="bg2">
                  <a:lumMod val="50000"/>
                </a:schemeClr>
              </a:solidFill>
              <a:latin typeface="Adobe Fan Heiti Std B" panose="020B0700000000000000" pitchFamily="34" charset="-128"/>
              <a:ea typeface="Adobe Fan Heiti Std B" panose="020B0700000000000000" pitchFamily="34" charset="-128"/>
            </a:rPr>
            <a:t>Analyst Name: Priyanka</a:t>
          </a:r>
        </a:p>
        <a:p>
          <a:endParaRPr lang="en-US" sz="1100" baseline="0"/>
        </a:p>
        <a:p>
          <a:endParaRPr lang="en-US" sz="1100"/>
        </a:p>
      </xdr:txBody>
    </xdr:sp>
    <xdr:clientData/>
  </xdr:twoCellAnchor>
  <xdr:twoCellAnchor editAs="oneCell">
    <xdr:from>
      <xdr:col>0</xdr:col>
      <xdr:colOff>177801</xdr:colOff>
      <xdr:row>1</xdr:row>
      <xdr:rowOff>19050</xdr:rowOff>
    </xdr:from>
    <xdr:to>
      <xdr:col>3</xdr:col>
      <xdr:colOff>488951</xdr:colOff>
      <xdr:row>3</xdr:row>
      <xdr:rowOff>76187</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7801" y="203200"/>
          <a:ext cx="2139950" cy="425437"/>
        </a:xfrm>
        <a:prstGeom prst="rect">
          <a:avLst/>
        </a:prstGeom>
      </xdr:spPr>
    </xdr:pic>
    <xdr:clientData/>
  </xdr:twoCellAnchor>
  <xdr:twoCellAnchor>
    <xdr:from>
      <xdr:col>4</xdr:col>
      <xdr:colOff>25400</xdr:colOff>
      <xdr:row>0</xdr:row>
      <xdr:rowOff>120650</xdr:rowOff>
    </xdr:from>
    <xdr:to>
      <xdr:col>13</xdr:col>
      <xdr:colOff>247650</xdr:colOff>
      <xdr:row>3</xdr:row>
      <xdr:rowOff>120650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463800" y="120650"/>
          <a:ext cx="5708650" cy="5524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800" b="1">
            <a:solidFill>
              <a:schemeClr val="bg2">
                <a:lumMod val="50000"/>
              </a:schemeClr>
            </a:solidFill>
            <a:latin typeface="Adobe Fan Heiti Std B" panose="020B0700000000000000" pitchFamily="34" charset="-128"/>
            <a:ea typeface="Adobe Fan Heiti Std B" panose="020B0700000000000000" pitchFamily="34" charset="-128"/>
            <a:cs typeface="Adobe Arabic" panose="02040503050201020203" pitchFamily="18" charset="-7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370419</xdr:colOff>
      <xdr:row>6</xdr:row>
      <xdr:rowOff>50798</xdr:rowOff>
    </xdr:from>
    <xdr:to>
      <xdr:col>5</xdr:col>
      <xdr:colOff>526144</xdr:colOff>
      <xdr:row>16</xdr:row>
      <xdr:rowOff>10582</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11</xdr:col>
      <xdr:colOff>492881</xdr:colOff>
      <xdr:row>4</xdr:row>
      <xdr:rowOff>105834</xdr:rowOff>
    </xdr:from>
    <xdr:to>
      <xdr:col>16</xdr:col>
      <xdr:colOff>402167</xdr:colOff>
      <xdr:row>17</xdr:row>
      <xdr:rowOff>51407</xdr:rowOff>
    </xdr:to>
    <xdr:graphicFrame macro="">
      <xdr:nvGraphicFramePr>
        <xdr:cNvPr id="3" name="Diagram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1</xdr:col>
      <xdr:colOff>47850</xdr:colOff>
      <xdr:row>26</xdr:row>
      <xdr:rowOff>119741</xdr:rowOff>
    </xdr:from>
    <xdr:to>
      <xdr:col>24</xdr:col>
      <xdr:colOff>508001</xdr:colOff>
      <xdr:row>39</xdr:row>
      <xdr:rowOff>36286</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428850" y="4933041"/>
          <a:ext cx="14334901" cy="2310495"/>
        </a:xfrm>
        <a:prstGeom prst="rect">
          <a:avLst/>
        </a:prstGeom>
        <a:solidFill>
          <a:schemeClr val="lt1"/>
        </a:solidFill>
        <a:ln w="28575"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solidFill>
              <a:schemeClr val="bg2">
                <a:lumMod val="50000"/>
              </a:schemeClr>
            </a:solidFill>
          </a:endParaRPr>
        </a:p>
        <a:p>
          <a:r>
            <a:rPr lang="en-US" sz="1400">
              <a:solidFill>
                <a:schemeClr val="bg2">
                  <a:lumMod val="50000"/>
                </a:schemeClr>
              </a:solidFill>
            </a:rPr>
            <a:t>1.) The grey boxes in the first row of the population flow</a:t>
          </a:r>
          <a:r>
            <a:rPr lang="en-US" sz="1400" baseline="0">
              <a:solidFill>
                <a:schemeClr val="bg2">
                  <a:lumMod val="50000"/>
                </a:schemeClr>
              </a:solidFill>
            </a:rPr>
            <a:t> represent the original data sets as they were when you downloaded them. In the Total fields you need to add the count of the rows when you imported the data set into Jupyter. </a:t>
          </a:r>
        </a:p>
        <a:p>
          <a:endParaRPr lang="en-US" sz="1400" baseline="0">
            <a:solidFill>
              <a:schemeClr val="bg2">
                <a:lumMod val="50000"/>
              </a:schemeClr>
            </a:solidFill>
          </a:endParaRPr>
        </a:p>
        <a:p>
          <a:r>
            <a:rPr lang="en-US" sz="1400" baseline="0">
              <a:solidFill>
                <a:schemeClr val="bg2">
                  <a:lumMod val="50000"/>
                </a:schemeClr>
              </a:solidFill>
            </a:rPr>
            <a:t>2.) The second row of boxes (coloured) represents the data sets </a:t>
          </a:r>
          <a:r>
            <a:rPr lang="en-US" sz="1400" b="1" baseline="0">
              <a:solidFill>
                <a:schemeClr val="bg2">
                  <a:lumMod val="50000"/>
                </a:schemeClr>
              </a:solidFill>
            </a:rPr>
            <a:t>after </a:t>
          </a:r>
          <a:r>
            <a:rPr lang="en-US" sz="1400" b="0" baseline="0">
              <a:solidFill>
                <a:schemeClr val="bg2">
                  <a:lumMod val="50000"/>
                </a:schemeClr>
              </a:solidFill>
            </a:rPr>
            <a:t>you manipulated them, e.g., removed missing values and duplicates. In the Total fields you need to </a:t>
          </a:r>
          <a:r>
            <a:rPr lang="en-US" sz="1400" baseline="0">
              <a:solidFill>
                <a:schemeClr val="bg2">
                  <a:lumMod val="50000"/>
                </a:schemeClr>
              </a:solidFill>
            </a:rPr>
            <a:t>add the count of the rows </a:t>
          </a:r>
          <a:r>
            <a:rPr lang="en-US" sz="1400" b="0" baseline="0">
              <a:solidFill>
                <a:schemeClr val="bg2">
                  <a:lumMod val="50000"/>
                </a:schemeClr>
              </a:solidFill>
            </a:rPr>
            <a:t>after conducting these operations. This offers a visual oveview of how the data </a:t>
          </a:r>
          <a:r>
            <a:rPr lang="en-US" sz="1400" b="0" i="1" baseline="0">
              <a:solidFill>
                <a:schemeClr val="bg2">
                  <a:lumMod val="50000"/>
                </a:schemeClr>
              </a:solidFill>
            </a:rPr>
            <a:t>flows </a:t>
          </a:r>
          <a:r>
            <a:rPr lang="en-US" sz="1400" b="0" i="0" baseline="0">
              <a:solidFill>
                <a:schemeClr val="bg2">
                  <a:lumMod val="50000"/>
                </a:schemeClr>
              </a:solidFill>
            </a:rPr>
            <a:t>throughout the data consistency checks.</a:t>
          </a:r>
          <a:endParaRPr lang="en-US" sz="1400" b="0" i="1" baseline="0">
            <a:solidFill>
              <a:schemeClr val="bg2">
                <a:lumMod val="50000"/>
              </a:schemeClr>
            </a:solidFill>
          </a:endParaRPr>
        </a:p>
        <a:p>
          <a:endParaRPr lang="en-US" sz="1400" b="0" baseline="0">
            <a:solidFill>
              <a:schemeClr val="bg2">
                <a:lumMod val="50000"/>
              </a:schemeClr>
            </a:solidFill>
          </a:endParaRPr>
        </a:p>
        <a:p>
          <a:r>
            <a:rPr lang="en-US" sz="1400" b="0" baseline="0">
              <a:solidFill>
                <a:schemeClr val="bg2">
                  <a:lumMod val="50000"/>
                </a:schemeClr>
              </a:solidFill>
            </a:rPr>
            <a:t>3.) The third row, where also the arrows are coloured, represents the merges you performed between the datasets. In the Total fields you need to add the count of the rows in the merged datasets, so that you end up with the final dataset (in the red box). </a:t>
          </a:r>
          <a:r>
            <a:rPr lang="en-US" sz="1400" b="0" i="0" u="none" strike="noStrike">
              <a:solidFill>
                <a:schemeClr val="bg2">
                  <a:lumMod val="50000"/>
                </a:schemeClr>
              </a:solidFill>
              <a:effectLst/>
              <a:latin typeface="+mn-lt"/>
              <a:ea typeface="+mn-ea"/>
              <a:cs typeface="+mn-cs"/>
            </a:rPr>
            <a:t>Keep in mind the final dataset should</a:t>
          </a:r>
          <a:r>
            <a:rPr lang="en-US" sz="1400" b="0" i="0" u="none" strike="noStrike" baseline="0">
              <a:solidFill>
                <a:schemeClr val="bg2">
                  <a:lumMod val="50000"/>
                </a:schemeClr>
              </a:solidFill>
              <a:effectLst/>
              <a:latin typeface="+mn-lt"/>
              <a:ea typeface="+mn-ea"/>
              <a:cs typeface="+mn-cs"/>
            </a:rPr>
            <a:t> be without exclusions (based on the exclusion flag).</a:t>
          </a:r>
          <a:endParaRPr lang="en-US" sz="1400" b="1">
            <a:solidFill>
              <a:schemeClr val="bg2">
                <a:lumMod val="50000"/>
              </a:schemeClr>
            </a:solidFill>
          </a:endParaRPr>
        </a:p>
      </xdr:txBody>
    </xdr:sp>
    <xdr:clientData/>
  </xdr:twoCellAnchor>
  <xdr:twoCellAnchor>
    <xdr:from>
      <xdr:col>5</xdr:col>
      <xdr:colOff>127001</xdr:colOff>
      <xdr:row>2</xdr:row>
      <xdr:rowOff>148169</xdr:rowOff>
    </xdr:from>
    <xdr:to>
      <xdr:col>12</xdr:col>
      <xdr:colOff>136073</xdr:colOff>
      <xdr:row>18</xdr:row>
      <xdr:rowOff>140609</xdr:rowOff>
    </xdr:to>
    <xdr:graphicFrame macro="">
      <xdr:nvGraphicFramePr>
        <xdr:cNvPr id="5" name="Diagram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17</xdr:col>
      <xdr:colOff>0</xdr:colOff>
      <xdr:row>3</xdr:row>
      <xdr:rowOff>87693</xdr:rowOff>
    </xdr:from>
    <xdr:to>
      <xdr:col>21</xdr:col>
      <xdr:colOff>445859</xdr:colOff>
      <xdr:row>16</xdr:row>
      <xdr:rowOff>144240</xdr:rowOff>
    </xdr:to>
    <xdr:graphicFrame macro="">
      <xdr:nvGraphicFramePr>
        <xdr:cNvPr id="6" name="Diagram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3</xdr:col>
      <xdr:colOff>248638</xdr:colOff>
      <xdr:row>17</xdr:row>
      <xdr:rowOff>163542</xdr:rowOff>
    </xdr:from>
    <xdr:to>
      <xdr:col>6</xdr:col>
      <xdr:colOff>294969</xdr:colOff>
      <xdr:row>20</xdr:row>
      <xdr:rowOff>2717</xdr:rowOff>
    </xdr:to>
    <xdr:sp macro="" textlink="">
      <xdr:nvSpPr>
        <xdr:cNvPr id="7" name="Down Arrow 6">
          <a:extLst>
            <a:ext uri="{FF2B5EF4-FFF2-40B4-BE49-F238E27FC236}">
              <a16:creationId xmlns:a16="http://schemas.microsoft.com/office/drawing/2014/main" id="{00000000-0008-0000-0100-000007000000}"/>
            </a:ext>
          </a:extLst>
        </xdr:cNvPr>
        <xdr:cNvSpPr/>
      </xdr:nvSpPr>
      <xdr:spPr>
        <a:xfrm rot="18067156">
          <a:off x="2568366" y="2587264"/>
          <a:ext cx="391625" cy="1856081"/>
        </a:xfrm>
        <a:prstGeom prst="downArrow">
          <a:avLst/>
        </a:prstGeom>
        <a:solidFill>
          <a:srgbClr val="8A58E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40600</xdr:colOff>
      <xdr:row>15</xdr:row>
      <xdr:rowOff>144595</xdr:rowOff>
    </xdr:from>
    <xdr:to>
      <xdr:col>8</xdr:col>
      <xdr:colOff>352273</xdr:colOff>
      <xdr:row>19</xdr:row>
      <xdr:rowOff>52917</xdr:rowOff>
    </xdr:to>
    <xdr:sp macro="" textlink="">
      <xdr:nvSpPr>
        <xdr:cNvPr id="8" name="Down Arrow 7">
          <a:extLst>
            <a:ext uri="{FF2B5EF4-FFF2-40B4-BE49-F238E27FC236}">
              <a16:creationId xmlns:a16="http://schemas.microsoft.com/office/drawing/2014/main" id="{00000000-0008-0000-0100-000008000000}"/>
            </a:ext>
          </a:extLst>
        </xdr:cNvPr>
        <xdr:cNvSpPr/>
      </xdr:nvSpPr>
      <xdr:spPr>
        <a:xfrm>
          <a:off x="4644350" y="2932245"/>
          <a:ext cx="311673" cy="644922"/>
        </a:xfrm>
        <a:prstGeom prst="downArrow">
          <a:avLst/>
        </a:prstGeom>
        <a:solidFill>
          <a:srgbClr val="8A58E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201083</xdr:colOff>
      <xdr:row>20</xdr:row>
      <xdr:rowOff>108855</xdr:rowOff>
    </xdr:from>
    <xdr:to>
      <xdr:col>10</xdr:col>
      <xdr:colOff>243416</xdr:colOff>
      <xdr:row>23</xdr:row>
      <xdr:rowOff>72571</xdr:rowOff>
    </xdr:to>
    <xdr:grpSp>
      <xdr:nvGrpSpPr>
        <xdr:cNvPr id="9" name="Group 8">
          <a:extLst>
            <a:ext uri="{FF2B5EF4-FFF2-40B4-BE49-F238E27FC236}">
              <a16:creationId xmlns:a16="http://schemas.microsoft.com/office/drawing/2014/main" id="{00000000-0008-0000-0100-000009000000}"/>
            </a:ext>
          </a:extLst>
        </xdr:cNvPr>
        <xdr:cNvGrpSpPr/>
      </xdr:nvGrpSpPr>
      <xdr:grpSpPr>
        <a:xfrm>
          <a:off x="3598333" y="3516688"/>
          <a:ext cx="2455333" cy="471716"/>
          <a:chOff x="933572" y="893986"/>
          <a:chExt cx="1124314" cy="786983"/>
        </a:xfrm>
        <a:solidFill>
          <a:srgbClr val="8A58EE"/>
        </a:solidFill>
      </xdr:grpSpPr>
      <xdr:sp macro="" textlink="">
        <xdr:nvSpPr>
          <xdr:cNvPr id="10" name="Rounded Rectangle 9">
            <a:extLst>
              <a:ext uri="{FF2B5EF4-FFF2-40B4-BE49-F238E27FC236}">
                <a16:creationId xmlns:a16="http://schemas.microsoft.com/office/drawing/2014/main" id="{00000000-0008-0000-0100-00000A000000}"/>
              </a:ext>
            </a:extLst>
          </xdr:cNvPr>
          <xdr:cNvSpPr/>
        </xdr:nvSpPr>
        <xdr:spPr>
          <a:xfrm>
            <a:off x="933572" y="893986"/>
            <a:ext cx="1124314" cy="786983"/>
          </a:xfrm>
          <a:prstGeom prst="roundRect">
            <a:avLst>
              <a:gd name="adj" fmla="val 16670"/>
            </a:avLst>
          </a:prstGeom>
          <a:grpFill/>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 textlink="">
        <xdr:nvSpPr>
          <xdr:cNvPr id="11" name="Rounded Rectangle 4">
            <a:extLst>
              <a:ext uri="{FF2B5EF4-FFF2-40B4-BE49-F238E27FC236}">
                <a16:creationId xmlns:a16="http://schemas.microsoft.com/office/drawing/2014/main" id="{00000000-0008-0000-0100-00000B000000}"/>
              </a:ext>
            </a:extLst>
          </xdr:cNvPr>
          <xdr:cNvSpPr/>
        </xdr:nvSpPr>
        <xdr:spPr>
          <a:xfrm>
            <a:off x="971996" y="932410"/>
            <a:ext cx="1047466" cy="710135"/>
          </a:xfrm>
          <a:prstGeom prst="rect">
            <a:avLst/>
          </a:prstGeom>
          <a:grpFill/>
        </xdr:spPr>
        <xdr:style>
          <a:lnRef idx="0">
            <a:scrgbClr r="0" g="0" b="0"/>
          </a:lnRef>
          <a:fillRef idx="0">
            <a:scrgbClr r="0" g="0" b="0"/>
          </a:fillRef>
          <a:effectRef idx="0">
            <a:scrgbClr r="0" g="0" b="0"/>
          </a:effectRef>
          <a:fontRef idx="minor">
            <a:schemeClr val="lt1"/>
          </a:fontRef>
        </xdr:style>
        <xdr:txBody>
          <a:bodyPr spcFirstLastPara="0" vert="horz" wrap="square" lIns="57150" tIns="57150" rIns="57150" bIns="57150" numCol="1" spcCol="1270" anchor="ctr" anchorCtr="0">
            <a:noAutofit/>
          </a:bodyPr>
          <a:lstStyle/>
          <a:p>
            <a:pPr lvl="0" algn="ctr" defTabSz="666750">
              <a:lnSpc>
                <a:spcPct val="90000"/>
              </a:lnSpc>
              <a:spcBef>
                <a:spcPct val="0"/>
              </a:spcBef>
              <a:spcAft>
                <a:spcPct val="35000"/>
              </a:spcAft>
            </a:pPr>
            <a:r>
              <a:rPr lang="en-US" sz="1500" kern="1200"/>
              <a:t>Orders_products_combined </a:t>
            </a:r>
            <a:endParaRPr lang="en-US" sz="1200" kern="1200"/>
          </a:p>
        </xdr:txBody>
      </xdr:sp>
    </xdr:grpSp>
    <xdr:clientData/>
  </xdr:twoCellAnchor>
  <xdr:twoCellAnchor>
    <xdr:from>
      <xdr:col>10</xdr:col>
      <xdr:colOff>296333</xdr:colOff>
      <xdr:row>20</xdr:row>
      <xdr:rowOff>179916</xdr:rowOff>
    </xdr:from>
    <xdr:to>
      <xdr:col>11</xdr:col>
      <xdr:colOff>497419</xdr:colOff>
      <xdr:row>22</xdr:row>
      <xdr:rowOff>148163</xdr:rowOff>
    </xdr:to>
    <xdr:sp macro="" textlink="">
      <xdr:nvSpPr>
        <xdr:cNvPr id="12" name="Down Arrow 11">
          <a:extLst>
            <a:ext uri="{FF2B5EF4-FFF2-40B4-BE49-F238E27FC236}">
              <a16:creationId xmlns:a16="http://schemas.microsoft.com/office/drawing/2014/main" id="{00000000-0008-0000-0100-00000C000000}"/>
            </a:ext>
          </a:extLst>
        </xdr:cNvPr>
        <xdr:cNvSpPr/>
      </xdr:nvSpPr>
      <xdr:spPr>
        <a:xfrm rot="16200000">
          <a:off x="6340477" y="3654422"/>
          <a:ext cx="336547" cy="804336"/>
        </a:xfrm>
        <a:prstGeom prst="downArrow">
          <a:avLst/>
        </a:prstGeom>
        <a:solidFill>
          <a:srgbClr val="057CC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535211</xdr:colOff>
      <xdr:row>20</xdr:row>
      <xdr:rowOff>117928</xdr:rowOff>
    </xdr:from>
    <xdr:to>
      <xdr:col>15</xdr:col>
      <xdr:colOff>486832</xdr:colOff>
      <xdr:row>23</xdr:row>
      <xdr:rowOff>72572</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6948711" y="3525761"/>
          <a:ext cx="2364621" cy="462644"/>
          <a:chOff x="933572" y="893986"/>
          <a:chExt cx="1124314" cy="786983"/>
        </a:xfrm>
        <a:solidFill>
          <a:srgbClr val="057CCD"/>
        </a:solidFill>
      </xdr:grpSpPr>
      <xdr:sp macro="" textlink="">
        <xdr:nvSpPr>
          <xdr:cNvPr id="14" name="Rounded Rectangle 13">
            <a:extLst>
              <a:ext uri="{FF2B5EF4-FFF2-40B4-BE49-F238E27FC236}">
                <a16:creationId xmlns:a16="http://schemas.microsoft.com/office/drawing/2014/main" id="{00000000-0008-0000-0100-00000E000000}"/>
              </a:ext>
            </a:extLst>
          </xdr:cNvPr>
          <xdr:cNvSpPr/>
        </xdr:nvSpPr>
        <xdr:spPr>
          <a:xfrm>
            <a:off x="933572" y="893986"/>
            <a:ext cx="1124314" cy="786983"/>
          </a:xfrm>
          <a:prstGeom prst="roundRect">
            <a:avLst>
              <a:gd name="adj" fmla="val 16670"/>
            </a:avLst>
          </a:prstGeom>
          <a:grpFill/>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 textlink="">
        <xdr:nvSpPr>
          <xdr:cNvPr id="15" name="Rounded Rectangle 4">
            <a:extLst>
              <a:ext uri="{FF2B5EF4-FFF2-40B4-BE49-F238E27FC236}">
                <a16:creationId xmlns:a16="http://schemas.microsoft.com/office/drawing/2014/main" id="{00000000-0008-0000-0100-00000F000000}"/>
              </a:ext>
            </a:extLst>
          </xdr:cNvPr>
          <xdr:cNvSpPr/>
        </xdr:nvSpPr>
        <xdr:spPr>
          <a:xfrm>
            <a:off x="971996" y="932410"/>
            <a:ext cx="1047466" cy="710135"/>
          </a:xfrm>
          <a:prstGeom prst="rect">
            <a:avLst/>
          </a:prstGeom>
          <a:grpFill/>
        </xdr:spPr>
        <xdr:style>
          <a:lnRef idx="0">
            <a:scrgbClr r="0" g="0" b="0"/>
          </a:lnRef>
          <a:fillRef idx="0">
            <a:scrgbClr r="0" g="0" b="0"/>
          </a:fillRef>
          <a:effectRef idx="0">
            <a:scrgbClr r="0" g="0" b="0"/>
          </a:effectRef>
          <a:fontRef idx="minor">
            <a:schemeClr val="lt1"/>
          </a:fontRef>
        </xdr:style>
        <xdr:txBody>
          <a:bodyPr spcFirstLastPara="0" vert="horz" wrap="square" lIns="57150" tIns="57150" rIns="57150" bIns="57150" numCol="1" spcCol="1270" anchor="ctr" anchorCtr="0">
            <a:noAutofit/>
          </a:bodyPr>
          <a:lstStyle/>
          <a:p>
            <a:pPr lvl="0" algn="ctr" defTabSz="666750">
              <a:lnSpc>
                <a:spcPct val="90000"/>
              </a:lnSpc>
              <a:spcBef>
                <a:spcPct val="0"/>
              </a:spcBef>
              <a:spcAft>
                <a:spcPct val="35000"/>
              </a:spcAft>
            </a:pPr>
            <a:r>
              <a:rPr lang="en-US" sz="1500" kern="1200"/>
              <a:t>Orders_products_merged </a:t>
            </a:r>
            <a:endParaRPr lang="en-US" sz="1200" kern="1200"/>
          </a:p>
        </xdr:txBody>
      </xdr:sp>
    </xdr:grpSp>
    <xdr:clientData/>
  </xdr:twoCellAnchor>
  <xdr:twoCellAnchor>
    <xdr:from>
      <xdr:col>15</xdr:col>
      <xdr:colOff>541266</xdr:colOff>
      <xdr:row>21</xdr:row>
      <xdr:rowOff>18142</xdr:rowOff>
    </xdr:from>
    <xdr:to>
      <xdr:col>17</xdr:col>
      <xdr:colOff>497733</xdr:colOff>
      <xdr:row>22</xdr:row>
      <xdr:rowOff>147528</xdr:rowOff>
    </xdr:to>
    <xdr:sp macro="" textlink="">
      <xdr:nvSpPr>
        <xdr:cNvPr id="16" name="Down Arrow 15">
          <a:extLst>
            <a:ext uri="{FF2B5EF4-FFF2-40B4-BE49-F238E27FC236}">
              <a16:creationId xmlns:a16="http://schemas.microsoft.com/office/drawing/2014/main" id="{00000000-0008-0000-0100-000010000000}"/>
            </a:ext>
          </a:extLst>
        </xdr:cNvPr>
        <xdr:cNvSpPr/>
      </xdr:nvSpPr>
      <xdr:spPr>
        <a:xfrm rot="16200000">
          <a:off x="9792482" y="3485976"/>
          <a:ext cx="313536" cy="1162967"/>
        </a:xfrm>
        <a:prstGeom prst="downArrow">
          <a:avLst/>
        </a:prstGeom>
        <a:solidFill>
          <a:srgbClr val="F3318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136072</xdr:colOff>
      <xdr:row>20</xdr:row>
      <xdr:rowOff>9071</xdr:rowOff>
    </xdr:from>
    <xdr:to>
      <xdr:col>22</xdr:col>
      <xdr:colOff>371931</xdr:colOff>
      <xdr:row>23</xdr:row>
      <xdr:rowOff>105834</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10772322" y="3416904"/>
          <a:ext cx="2648859" cy="604763"/>
          <a:chOff x="933572" y="893986"/>
          <a:chExt cx="1124314" cy="786983"/>
        </a:xfrm>
        <a:solidFill>
          <a:srgbClr val="F3318D"/>
        </a:solidFill>
      </xdr:grpSpPr>
      <xdr:sp macro="" textlink="">
        <xdr:nvSpPr>
          <xdr:cNvPr id="18" name="Rounded Rectangle 17">
            <a:extLst>
              <a:ext uri="{FF2B5EF4-FFF2-40B4-BE49-F238E27FC236}">
                <a16:creationId xmlns:a16="http://schemas.microsoft.com/office/drawing/2014/main" id="{00000000-0008-0000-0100-000012000000}"/>
              </a:ext>
            </a:extLst>
          </xdr:cNvPr>
          <xdr:cNvSpPr/>
        </xdr:nvSpPr>
        <xdr:spPr>
          <a:xfrm>
            <a:off x="933572" y="893986"/>
            <a:ext cx="1124314" cy="786983"/>
          </a:xfrm>
          <a:prstGeom prst="roundRect">
            <a:avLst>
              <a:gd name="adj" fmla="val 16670"/>
            </a:avLst>
          </a:prstGeom>
          <a:grpFill/>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 textlink="">
        <xdr:nvSpPr>
          <xdr:cNvPr id="19" name="Rounded Rectangle 4">
            <a:extLst>
              <a:ext uri="{FF2B5EF4-FFF2-40B4-BE49-F238E27FC236}">
                <a16:creationId xmlns:a16="http://schemas.microsoft.com/office/drawing/2014/main" id="{00000000-0008-0000-0100-000013000000}"/>
              </a:ext>
            </a:extLst>
          </xdr:cNvPr>
          <xdr:cNvSpPr/>
        </xdr:nvSpPr>
        <xdr:spPr>
          <a:xfrm>
            <a:off x="971996" y="932410"/>
            <a:ext cx="1047466" cy="651799"/>
          </a:xfrm>
          <a:prstGeom prst="rect">
            <a:avLst/>
          </a:prstGeom>
          <a:grpFill/>
        </xdr:spPr>
        <xdr:style>
          <a:lnRef idx="0">
            <a:scrgbClr r="0" g="0" b="0"/>
          </a:lnRef>
          <a:fillRef idx="0">
            <a:scrgbClr r="0" g="0" b="0"/>
          </a:fillRef>
          <a:effectRef idx="0">
            <a:scrgbClr r="0" g="0" b="0"/>
          </a:effectRef>
          <a:fontRef idx="minor">
            <a:schemeClr val="lt1"/>
          </a:fontRef>
        </xdr:style>
        <xdr:txBody>
          <a:bodyPr spcFirstLastPara="0" vert="horz" wrap="square" lIns="57150" tIns="57150" rIns="57150" bIns="57150" numCol="1" spcCol="1270" anchor="ctr" anchorCtr="0">
            <a:noAutofit/>
          </a:bodyPr>
          <a:lstStyle/>
          <a:p>
            <a:pPr lvl="0" algn="ctr" defTabSz="666750">
              <a:lnSpc>
                <a:spcPct val="90000"/>
              </a:lnSpc>
              <a:spcBef>
                <a:spcPct val="0"/>
              </a:spcBef>
              <a:spcAft>
                <a:spcPct val="35000"/>
              </a:spcAft>
            </a:pPr>
            <a:r>
              <a:rPr lang="en-US" sz="1500" kern="1200"/>
              <a:t>Orders_products_all </a:t>
            </a:r>
            <a:endParaRPr lang="en-US" sz="1200" kern="1200"/>
          </a:p>
        </xdr:txBody>
      </xdr:sp>
    </xdr:grpSp>
    <xdr:clientData/>
  </xdr:twoCellAnchor>
  <xdr:twoCellAnchor>
    <xdr:from>
      <xdr:col>6</xdr:col>
      <xdr:colOff>226779</xdr:colOff>
      <xdr:row>23</xdr:row>
      <xdr:rowOff>51412</xdr:rowOff>
    </xdr:from>
    <xdr:to>
      <xdr:col>8</xdr:col>
      <xdr:colOff>349250</xdr:colOff>
      <xdr:row>26</xdr:row>
      <xdr:rowOff>95252</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3624029" y="3967245"/>
          <a:ext cx="1328971" cy="551840"/>
          <a:chOff x="1129010" y="94243"/>
          <a:chExt cx="820949" cy="638587"/>
        </a:xfrm>
      </xdr:grpSpPr>
      <xdr:sp macro="" textlink="">
        <xdr:nvSpPr>
          <xdr:cNvPr id="21" name="Rectangle 20">
            <a:extLst>
              <a:ext uri="{FF2B5EF4-FFF2-40B4-BE49-F238E27FC236}">
                <a16:creationId xmlns:a16="http://schemas.microsoft.com/office/drawing/2014/main" id="{00000000-0008-0000-0100-000015000000}"/>
              </a:ext>
            </a:extLst>
          </xdr:cNvPr>
          <xdr:cNvSpPr/>
        </xdr:nvSpPr>
        <xdr:spPr>
          <a:xfrm>
            <a:off x="1129010" y="94243"/>
            <a:ext cx="820949" cy="638587"/>
          </a:xfrm>
          <a:prstGeom prst="rect">
            <a:avLst/>
          </a:prstGeom>
        </xdr:spPr>
        <xdr:style>
          <a:lnRef idx="0">
            <a:schemeClr val="dk1">
              <a:alpha val="0"/>
              <a:hueOff val="0"/>
              <a:satOff val="0"/>
              <a:lumOff val="0"/>
              <a:alphaOff val="0"/>
            </a:schemeClr>
          </a:lnRef>
          <a:fillRef idx="0">
            <a:schemeClr val="lt1">
              <a:alpha val="0"/>
              <a:hueOff val="0"/>
              <a:satOff val="0"/>
              <a:lumOff val="0"/>
              <a:alphaOff val="0"/>
            </a:schemeClr>
          </a:fillRef>
          <a:effectRef idx="0">
            <a:schemeClr val="lt1">
              <a:alpha val="0"/>
              <a:hueOff val="0"/>
              <a:satOff val="0"/>
              <a:lumOff val="0"/>
              <a:alphaOff val="0"/>
            </a:schemeClr>
          </a:effectRef>
          <a:fontRef idx="minor">
            <a:schemeClr val="tx1">
              <a:hueOff val="0"/>
              <a:satOff val="0"/>
              <a:lumOff val="0"/>
              <a:alphaOff val="0"/>
            </a:schemeClr>
          </a:fontRef>
        </xdr:style>
      </xdr:sp>
      <xdr:sp macro="" textlink="">
        <xdr:nvSpPr>
          <xdr:cNvPr id="22" name="Rectangle 21">
            <a:extLst>
              <a:ext uri="{FF2B5EF4-FFF2-40B4-BE49-F238E27FC236}">
                <a16:creationId xmlns:a16="http://schemas.microsoft.com/office/drawing/2014/main" id="{00000000-0008-0000-0100-000016000000}"/>
              </a:ext>
            </a:extLst>
          </xdr:cNvPr>
          <xdr:cNvSpPr/>
        </xdr:nvSpPr>
        <xdr:spPr>
          <a:xfrm>
            <a:off x="1129010" y="94243"/>
            <a:ext cx="820949" cy="638587"/>
          </a:xfrm>
          <a:prstGeom prst="rect">
            <a:avLst/>
          </a:prstGeom>
        </xdr:spPr>
        <xdr:style>
          <a:lnRef idx="0">
            <a:scrgbClr r="0" g="0" b="0"/>
          </a:lnRef>
          <a:fillRef idx="0">
            <a:scrgbClr r="0" g="0" b="0"/>
          </a:fillRef>
          <a:effectRef idx="0">
            <a:scrgbClr r="0" g="0" b="0"/>
          </a:effectRef>
          <a:fontRef idx="minor">
            <a:schemeClr val="tx1">
              <a:hueOff val="0"/>
              <a:satOff val="0"/>
              <a:lumOff val="0"/>
              <a:alphaOff val="0"/>
            </a:schemeClr>
          </a:fontRef>
        </xdr:style>
        <xdr:txBody>
          <a:bodyPr spcFirstLastPara="0" vert="horz" wrap="square" lIns="45720" tIns="45720" rIns="45720" bIns="45720" numCol="1" spcCol="1270" anchor="ctr" anchorCtr="0">
            <a:noAutofit/>
          </a:bodyPr>
          <a:lstStyle/>
          <a:p>
            <a:pPr marL="114300" lvl="1" indent="-114300" algn="l" defTabSz="533400">
              <a:lnSpc>
                <a:spcPct val="90000"/>
              </a:lnSpc>
              <a:spcBef>
                <a:spcPct val="0"/>
              </a:spcBef>
              <a:spcAft>
                <a:spcPct val="15000"/>
              </a:spcAft>
              <a:buChar char="••"/>
            </a:pPr>
            <a:r>
              <a:rPr lang="en-US" sz="1200" kern="1200">
                <a:solidFill>
                  <a:schemeClr val="bg2">
                    <a:lumMod val="50000"/>
                  </a:schemeClr>
                </a:solidFill>
              </a:rPr>
              <a:t>Total</a:t>
            </a:r>
            <a:r>
              <a:rPr lang="en-US" sz="1400" kern="1200">
                <a:solidFill>
                  <a:schemeClr val="bg2">
                    <a:lumMod val="50000"/>
                  </a:schemeClr>
                </a:solidFill>
              </a:rPr>
              <a:t>: 32434489 </a:t>
            </a:r>
            <a:endParaRPr lang="en-US" sz="1200" kern="1200">
              <a:solidFill>
                <a:schemeClr val="bg2">
                  <a:lumMod val="50000"/>
                </a:schemeClr>
              </a:solidFill>
            </a:endParaRPr>
          </a:p>
          <a:p>
            <a:pPr marL="114300" lvl="1" indent="-114300" algn="l" defTabSz="533400">
              <a:lnSpc>
                <a:spcPct val="90000"/>
              </a:lnSpc>
              <a:spcBef>
                <a:spcPct val="0"/>
              </a:spcBef>
              <a:spcAft>
                <a:spcPct val="15000"/>
              </a:spcAft>
              <a:buChar char="••"/>
            </a:pPr>
            <a:endParaRPr lang="en-US" sz="1400" kern="1200">
              <a:solidFill>
                <a:schemeClr val="bg2">
                  <a:lumMod val="50000"/>
                </a:schemeClr>
              </a:solidFill>
            </a:endParaRPr>
          </a:p>
        </xdr:txBody>
      </xdr:sp>
    </xdr:grpSp>
    <xdr:clientData/>
  </xdr:twoCellAnchor>
  <xdr:twoCellAnchor>
    <xdr:from>
      <xdr:col>11</xdr:col>
      <xdr:colOff>603249</xdr:colOff>
      <xdr:row>22</xdr:row>
      <xdr:rowOff>127003</xdr:rowOff>
    </xdr:from>
    <xdr:to>
      <xdr:col>14</xdr:col>
      <xdr:colOff>158750</xdr:colOff>
      <xdr:row>26</xdr:row>
      <xdr:rowOff>0</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7016749" y="3873503"/>
          <a:ext cx="1365251" cy="550330"/>
          <a:chOff x="1129010" y="21675"/>
          <a:chExt cx="820949" cy="711155"/>
        </a:xfrm>
      </xdr:grpSpPr>
      <xdr:sp macro="" textlink="">
        <xdr:nvSpPr>
          <xdr:cNvPr id="24" name="Rectangle 23">
            <a:extLst>
              <a:ext uri="{FF2B5EF4-FFF2-40B4-BE49-F238E27FC236}">
                <a16:creationId xmlns:a16="http://schemas.microsoft.com/office/drawing/2014/main" id="{00000000-0008-0000-0100-000018000000}"/>
              </a:ext>
            </a:extLst>
          </xdr:cNvPr>
          <xdr:cNvSpPr/>
        </xdr:nvSpPr>
        <xdr:spPr>
          <a:xfrm>
            <a:off x="1129010" y="94243"/>
            <a:ext cx="820949" cy="638587"/>
          </a:xfrm>
          <a:prstGeom prst="rect">
            <a:avLst/>
          </a:prstGeom>
        </xdr:spPr>
        <xdr:style>
          <a:lnRef idx="0">
            <a:schemeClr val="dk1">
              <a:alpha val="0"/>
              <a:hueOff val="0"/>
              <a:satOff val="0"/>
              <a:lumOff val="0"/>
              <a:alphaOff val="0"/>
            </a:schemeClr>
          </a:lnRef>
          <a:fillRef idx="0">
            <a:schemeClr val="lt1">
              <a:alpha val="0"/>
              <a:hueOff val="0"/>
              <a:satOff val="0"/>
              <a:lumOff val="0"/>
              <a:alphaOff val="0"/>
            </a:schemeClr>
          </a:fillRef>
          <a:effectRef idx="0">
            <a:schemeClr val="lt1">
              <a:alpha val="0"/>
              <a:hueOff val="0"/>
              <a:satOff val="0"/>
              <a:lumOff val="0"/>
              <a:alphaOff val="0"/>
            </a:schemeClr>
          </a:effectRef>
          <a:fontRef idx="minor">
            <a:schemeClr val="tx1">
              <a:hueOff val="0"/>
              <a:satOff val="0"/>
              <a:lumOff val="0"/>
              <a:alphaOff val="0"/>
            </a:schemeClr>
          </a:fontRef>
        </xdr:style>
      </xdr:sp>
      <xdr:sp macro="" textlink="">
        <xdr:nvSpPr>
          <xdr:cNvPr id="25" name="Rectangle 24">
            <a:extLst>
              <a:ext uri="{FF2B5EF4-FFF2-40B4-BE49-F238E27FC236}">
                <a16:creationId xmlns:a16="http://schemas.microsoft.com/office/drawing/2014/main" id="{00000000-0008-0000-0100-000019000000}"/>
              </a:ext>
            </a:extLst>
          </xdr:cNvPr>
          <xdr:cNvSpPr/>
        </xdr:nvSpPr>
        <xdr:spPr>
          <a:xfrm>
            <a:off x="1129010" y="21675"/>
            <a:ext cx="820949" cy="638587"/>
          </a:xfrm>
          <a:prstGeom prst="rect">
            <a:avLst/>
          </a:prstGeom>
        </xdr:spPr>
        <xdr:style>
          <a:lnRef idx="0">
            <a:scrgbClr r="0" g="0" b="0"/>
          </a:lnRef>
          <a:fillRef idx="0">
            <a:scrgbClr r="0" g="0" b="0"/>
          </a:fillRef>
          <a:effectRef idx="0">
            <a:scrgbClr r="0" g="0" b="0"/>
          </a:effectRef>
          <a:fontRef idx="minor">
            <a:schemeClr val="tx1">
              <a:hueOff val="0"/>
              <a:satOff val="0"/>
              <a:lumOff val="0"/>
              <a:alphaOff val="0"/>
            </a:schemeClr>
          </a:fontRef>
        </xdr:style>
        <xdr:txBody>
          <a:bodyPr spcFirstLastPara="0" vert="horz" wrap="square" lIns="45720" tIns="45720" rIns="45720" bIns="45720" numCol="1" spcCol="1270" anchor="ctr" anchorCtr="0">
            <a:noAutofit/>
          </a:bodyPr>
          <a:lstStyle/>
          <a:p>
            <a:pPr marL="114300" lvl="1" indent="-114300" algn="l" defTabSz="533400">
              <a:lnSpc>
                <a:spcPct val="90000"/>
              </a:lnSpc>
              <a:spcBef>
                <a:spcPct val="0"/>
              </a:spcBef>
              <a:spcAft>
                <a:spcPct val="15000"/>
              </a:spcAft>
              <a:buChar char="••"/>
            </a:pPr>
            <a:r>
              <a:rPr lang="en-US" sz="1200" kern="1200">
                <a:solidFill>
                  <a:schemeClr val="bg2">
                    <a:lumMod val="50000"/>
                  </a:schemeClr>
                </a:solidFill>
              </a:rPr>
              <a:t>Total</a:t>
            </a:r>
            <a:r>
              <a:rPr lang="en-US" sz="1400" kern="1200">
                <a:solidFill>
                  <a:schemeClr val="bg2">
                    <a:lumMod val="50000"/>
                  </a:schemeClr>
                </a:solidFill>
              </a:rPr>
              <a:t>: 32434212</a:t>
            </a:r>
            <a:endParaRPr lang="en-US" sz="1200" kern="1200">
              <a:solidFill>
                <a:schemeClr val="bg2">
                  <a:lumMod val="50000"/>
                </a:schemeClr>
              </a:solidFill>
            </a:endParaRPr>
          </a:p>
        </xdr:txBody>
      </xdr:sp>
    </xdr:grpSp>
    <xdr:clientData/>
  </xdr:twoCellAnchor>
  <xdr:twoCellAnchor>
    <xdr:from>
      <xdr:col>18</xdr:col>
      <xdr:colOff>232829</xdr:colOff>
      <xdr:row>23</xdr:row>
      <xdr:rowOff>33273</xdr:rowOff>
    </xdr:from>
    <xdr:to>
      <xdr:col>20</xdr:col>
      <xdr:colOff>433916</xdr:colOff>
      <xdr:row>25</xdr:row>
      <xdr:rowOff>172928</xdr:rowOff>
    </xdr:to>
    <xdr:grpSp>
      <xdr:nvGrpSpPr>
        <xdr:cNvPr id="26" name="Group 25">
          <a:extLst>
            <a:ext uri="{FF2B5EF4-FFF2-40B4-BE49-F238E27FC236}">
              <a16:creationId xmlns:a16="http://schemas.microsoft.com/office/drawing/2014/main" id="{00000000-0008-0000-0100-00001A000000}"/>
            </a:ext>
          </a:extLst>
        </xdr:cNvPr>
        <xdr:cNvGrpSpPr/>
      </xdr:nvGrpSpPr>
      <xdr:grpSpPr>
        <a:xfrm>
          <a:off x="10869079" y="3949106"/>
          <a:ext cx="1407587" cy="471972"/>
          <a:chOff x="1076469" y="28743"/>
          <a:chExt cx="873490" cy="689478"/>
        </a:xfrm>
      </xdr:grpSpPr>
      <xdr:sp macro="" textlink="">
        <xdr:nvSpPr>
          <xdr:cNvPr id="27" name="Rectangle 26">
            <a:extLst>
              <a:ext uri="{FF2B5EF4-FFF2-40B4-BE49-F238E27FC236}">
                <a16:creationId xmlns:a16="http://schemas.microsoft.com/office/drawing/2014/main" id="{00000000-0008-0000-0100-00001B000000}"/>
              </a:ext>
            </a:extLst>
          </xdr:cNvPr>
          <xdr:cNvSpPr/>
        </xdr:nvSpPr>
        <xdr:spPr>
          <a:xfrm>
            <a:off x="1076469" y="79634"/>
            <a:ext cx="820949" cy="638587"/>
          </a:xfrm>
          <a:prstGeom prst="rect">
            <a:avLst/>
          </a:prstGeom>
        </xdr:spPr>
        <xdr:style>
          <a:lnRef idx="0">
            <a:schemeClr val="dk1">
              <a:alpha val="0"/>
              <a:hueOff val="0"/>
              <a:satOff val="0"/>
              <a:lumOff val="0"/>
              <a:alphaOff val="0"/>
            </a:schemeClr>
          </a:lnRef>
          <a:fillRef idx="0">
            <a:schemeClr val="lt1">
              <a:alpha val="0"/>
              <a:hueOff val="0"/>
              <a:satOff val="0"/>
              <a:lumOff val="0"/>
              <a:alphaOff val="0"/>
            </a:schemeClr>
          </a:fillRef>
          <a:effectRef idx="0">
            <a:schemeClr val="lt1">
              <a:alpha val="0"/>
              <a:hueOff val="0"/>
              <a:satOff val="0"/>
              <a:lumOff val="0"/>
              <a:alphaOff val="0"/>
            </a:schemeClr>
          </a:effectRef>
          <a:fontRef idx="minor">
            <a:schemeClr val="tx1">
              <a:hueOff val="0"/>
              <a:satOff val="0"/>
              <a:lumOff val="0"/>
              <a:alphaOff val="0"/>
            </a:schemeClr>
          </a:fontRef>
        </xdr:style>
      </xdr:sp>
      <xdr:sp macro="" textlink="">
        <xdr:nvSpPr>
          <xdr:cNvPr id="28" name="Rectangle 27">
            <a:extLst>
              <a:ext uri="{FF2B5EF4-FFF2-40B4-BE49-F238E27FC236}">
                <a16:creationId xmlns:a16="http://schemas.microsoft.com/office/drawing/2014/main" id="{00000000-0008-0000-0100-00001C000000}"/>
              </a:ext>
            </a:extLst>
          </xdr:cNvPr>
          <xdr:cNvSpPr/>
        </xdr:nvSpPr>
        <xdr:spPr>
          <a:xfrm>
            <a:off x="1129010" y="28743"/>
            <a:ext cx="820949" cy="638588"/>
          </a:xfrm>
          <a:prstGeom prst="rect">
            <a:avLst/>
          </a:prstGeom>
        </xdr:spPr>
        <xdr:style>
          <a:lnRef idx="0">
            <a:scrgbClr r="0" g="0" b="0"/>
          </a:lnRef>
          <a:fillRef idx="0">
            <a:scrgbClr r="0" g="0" b="0"/>
          </a:fillRef>
          <a:effectRef idx="0">
            <a:scrgbClr r="0" g="0" b="0"/>
          </a:effectRef>
          <a:fontRef idx="minor">
            <a:schemeClr val="tx1">
              <a:hueOff val="0"/>
              <a:satOff val="0"/>
              <a:lumOff val="0"/>
              <a:alphaOff val="0"/>
            </a:schemeClr>
          </a:fontRef>
        </xdr:style>
        <xdr:txBody>
          <a:bodyPr spcFirstLastPara="0" vert="horz" wrap="square" lIns="45720" tIns="45720" rIns="45720" bIns="45720" numCol="1" spcCol="1270" anchor="ctr" anchorCtr="0">
            <a:noAutofit/>
          </a:bodyPr>
          <a:lstStyle/>
          <a:p>
            <a:pPr marL="114300" lvl="1" indent="-114300" algn="l" defTabSz="533400">
              <a:lnSpc>
                <a:spcPct val="90000"/>
              </a:lnSpc>
              <a:spcBef>
                <a:spcPct val="0"/>
              </a:spcBef>
              <a:spcAft>
                <a:spcPct val="15000"/>
              </a:spcAft>
              <a:buChar char="••"/>
            </a:pPr>
            <a:r>
              <a:rPr lang="en-US" sz="1200" kern="1200">
                <a:solidFill>
                  <a:schemeClr val="bg2">
                    <a:lumMod val="50000"/>
                  </a:schemeClr>
                </a:solidFill>
              </a:rPr>
              <a:t>Total</a:t>
            </a:r>
            <a:r>
              <a:rPr lang="en-US" sz="1400" kern="1200"/>
              <a:t>: 1955167</a:t>
            </a:r>
            <a:r>
              <a:rPr lang="en-US" sz="1400" kern="1200" baseline="0"/>
              <a:t> </a:t>
            </a:r>
            <a:r>
              <a:rPr lang="en-US" sz="1400" kern="1200"/>
              <a:t> </a:t>
            </a:r>
            <a:endParaRPr lang="en-US" sz="1200" kern="1200">
              <a:solidFill>
                <a:schemeClr val="bg2">
                  <a:lumMod val="50000"/>
                </a:schemeClr>
              </a:solidFill>
              <a:latin typeface="+mn-lt"/>
              <a:ea typeface="+mn-ea"/>
              <a:cs typeface="+mn-cs"/>
            </a:endParaRPr>
          </a:p>
        </xdr:txBody>
      </xdr:sp>
    </xdr:grpSp>
    <xdr:clientData/>
  </xdr:twoCellAnchor>
  <xdr:twoCellAnchor>
    <xdr:from>
      <xdr:col>18</xdr:col>
      <xdr:colOff>27212</xdr:colOff>
      <xdr:row>19</xdr:row>
      <xdr:rowOff>108857</xdr:rowOff>
    </xdr:from>
    <xdr:to>
      <xdr:col>22</xdr:col>
      <xdr:colOff>489857</xdr:colOff>
      <xdr:row>25</xdr:row>
      <xdr:rowOff>169334</xdr:rowOff>
    </xdr:to>
    <xdr:sp macro="" textlink="">
      <xdr:nvSpPr>
        <xdr:cNvPr id="29" name="Rectangle 28">
          <a:extLst>
            <a:ext uri="{FF2B5EF4-FFF2-40B4-BE49-F238E27FC236}">
              <a16:creationId xmlns:a16="http://schemas.microsoft.com/office/drawing/2014/main" id="{00000000-0008-0000-0100-00001D000000}"/>
            </a:ext>
          </a:extLst>
        </xdr:cNvPr>
        <xdr:cNvSpPr/>
      </xdr:nvSpPr>
      <xdr:spPr>
        <a:xfrm>
          <a:off x="10663462" y="3633107"/>
          <a:ext cx="2875645" cy="1165377"/>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486833</xdr:colOff>
      <xdr:row>0</xdr:row>
      <xdr:rowOff>105832</xdr:rowOff>
    </xdr:from>
    <xdr:to>
      <xdr:col>3</xdr:col>
      <xdr:colOff>543983</xdr:colOff>
      <xdr:row>1</xdr:row>
      <xdr:rowOff>210361</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378883" y="105832"/>
          <a:ext cx="1752600" cy="339479"/>
        </a:xfrm>
        <a:prstGeom prst="rect">
          <a:avLst/>
        </a:prstGeom>
      </xdr:spPr>
    </xdr:pic>
    <xdr:clientData/>
  </xdr:twoCellAnchor>
  <xdr:twoCellAnchor>
    <xdr:from>
      <xdr:col>13</xdr:col>
      <xdr:colOff>516833</xdr:colOff>
      <xdr:row>15</xdr:row>
      <xdr:rowOff>159706</xdr:rowOff>
    </xdr:from>
    <xdr:to>
      <xdr:col>14</xdr:col>
      <xdr:colOff>235840</xdr:colOff>
      <xdr:row>19</xdr:row>
      <xdr:rowOff>68028</xdr:rowOff>
    </xdr:to>
    <xdr:sp macro="" textlink="">
      <xdr:nvSpPr>
        <xdr:cNvPr id="31" name="Down Arrow 30">
          <a:extLst>
            <a:ext uri="{FF2B5EF4-FFF2-40B4-BE49-F238E27FC236}">
              <a16:creationId xmlns:a16="http://schemas.microsoft.com/office/drawing/2014/main" id="{00000000-0008-0000-0100-00001F000000}"/>
            </a:ext>
          </a:extLst>
        </xdr:cNvPr>
        <xdr:cNvSpPr/>
      </xdr:nvSpPr>
      <xdr:spPr>
        <a:xfrm>
          <a:off x="8136833" y="2947356"/>
          <a:ext cx="322257" cy="644922"/>
        </a:xfrm>
        <a:prstGeom prst="downArrow">
          <a:avLst/>
        </a:prstGeom>
        <a:solidFill>
          <a:srgbClr val="057CC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539748</xdr:colOff>
      <xdr:row>4</xdr:row>
      <xdr:rowOff>169334</xdr:rowOff>
    </xdr:from>
    <xdr:to>
      <xdr:col>23</xdr:col>
      <xdr:colOff>137581</xdr:colOff>
      <xdr:row>4</xdr:row>
      <xdr:rowOff>169334</xdr:rowOff>
    </xdr:to>
    <xdr:cxnSp macro="">
      <xdr:nvCxnSpPr>
        <xdr:cNvPr id="32" name="Straight Connector 31">
          <a:extLst>
            <a:ext uri="{FF2B5EF4-FFF2-40B4-BE49-F238E27FC236}">
              <a16:creationId xmlns:a16="http://schemas.microsoft.com/office/drawing/2014/main" id="{00000000-0008-0000-0100-000020000000}"/>
            </a:ext>
          </a:extLst>
        </xdr:cNvPr>
        <xdr:cNvCxnSpPr/>
      </xdr:nvCxnSpPr>
      <xdr:spPr>
        <a:xfrm>
          <a:off x="380998" y="1007534"/>
          <a:ext cx="13409083" cy="0"/>
        </a:xfrm>
        <a:prstGeom prst="line">
          <a:avLst/>
        </a:prstGeom>
        <a:ln w="2857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311153</xdr:colOff>
      <xdr:row>2</xdr:row>
      <xdr:rowOff>84668</xdr:rowOff>
    </xdr:from>
    <xdr:to>
      <xdr:col>6</xdr:col>
      <xdr:colOff>95253</xdr:colOff>
      <xdr:row>4</xdr:row>
      <xdr:rowOff>127001</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311153" y="554568"/>
          <a:ext cx="3181350" cy="4106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2">
                  <a:lumMod val="50000"/>
                </a:schemeClr>
              </a:solidFill>
            </a:rPr>
            <a:t>Population</a:t>
          </a:r>
          <a:r>
            <a:rPr lang="en-US" sz="2400" b="1" baseline="0">
              <a:solidFill>
                <a:schemeClr val="bg2">
                  <a:lumMod val="50000"/>
                </a:schemeClr>
              </a:solidFill>
            </a:rPr>
            <a:t> flow</a:t>
          </a:r>
          <a:endParaRPr lang="en-US" sz="2400" b="1">
            <a:solidFill>
              <a:schemeClr val="bg2">
                <a:lumMod val="50000"/>
              </a:schemeClr>
            </a:solidFill>
          </a:endParaRPr>
        </a:p>
      </xdr:txBody>
    </xdr:sp>
    <xdr:clientData/>
  </xdr:twoCellAnchor>
  <xdr:twoCellAnchor>
    <xdr:from>
      <xdr:col>19</xdr:col>
      <xdr:colOff>161234</xdr:colOff>
      <xdr:row>15</xdr:row>
      <xdr:rowOff>153360</xdr:rowOff>
    </xdr:from>
    <xdr:to>
      <xdr:col>19</xdr:col>
      <xdr:colOff>483491</xdr:colOff>
      <xdr:row>19</xdr:row>
      <xdr:rowOff>61682</xdr:rowOff>
    </xdr:to>
    <xdr:sp macro="" textlink="">
      <xdr:nvSpPr>
        <xdr:cNvPr id="34" name="Down Arrow 33">
          <a:extLst>
            <a:ext uri="{FF2B5EF4-FFF2-40B4-BE49-F238E27FC236}">
              <a16:creationId xmlns:a16="http://schemas.microsoft.com/office/drawing/2014/main" id="{00000000-0008-0000-0100-000022000000}"/>
            </a:ext>
          </a:extLst>
        </xdr:cNvPr>
        <xdr:cNvSpPr/>
      </xdr:nvSpPr>
      <xdr:spPr>
        <a:xfrm>
          <a:off x="11400734" y="2941010"/>
          <a:ext cx="322257" cy="644922"/>
        </a:xfrm>
        <a:prstGeom prst="downArrow">
          <a:avLst/>
        </a:prstGeom>
        <a:solidFill>
          <a:srgbClr val="F3318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31750</xdr:colOff>
      <xdr:row>5</xdr:row>
      <xdr:rowOff>-1</xdr:rowOff>
    </xdr:from>
    <xdr:to>
      <xdr:col>30</xdr:col>
      <xdr:colOff>544817</xdr:colOff>
      <xdr:row>17</xdr:row>
      <xdr:rowOff>170545</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14287500" y="1022349"/>
          <a:ext cx="4424667" cy="2304146"/>
        </a:xfrm>
        <a:prstGeom prst="rect">
          <a:avLst/>
        </a:prstGeom>
        <a:solidFill>
          <a:schemeClr val="lt1"/>
        </a:solidFill>
        <a:ln w="28575"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2">
                  <a:lumMod val="50000"/>
                </a:schemeClr>
              </a:solidFill>
            </a:rPr>
            <a:t>	</a:t>
          </a:r>
          <a:r>
            <a:rPr lang="en-US" sz="1400" b="1" baseline="0">
              <a:solidFill>
                <a:schemeClr val="bg2">
                  <a:lumMod val="50000"/>
                </a:schemeClr>
              </a:solidFill>
            </a:rPr>
            <a:t>               </a:t>
          </a:r>
        </a:p>
        <a:p>
          <a:r>
            <a:rPr lang="en-US" sz="1400" b="1" baseline="0">
              <a:solidFill>
                <a:schemeClr val="bg2">
                  <a:lumMod val="50000"/>
                </a:schemeClr>
              </a:solidFill>
            </a:rPr>
            <a:t>                                      </a:t>
          </a:r>
          <a:r>
            <a:rPr lang="en-US" sz="1600" b="1">
              <a:solidFill>
                <a:schemeClr val="bg2">
                  <a:lumMod val="50000"/>
                </a:schemeClr>
              </a:solidFill>
            </a:rPr>
            <a:t>Exclusion</a:t>
          </a:r>
          <a:r>
            <a:rPr lang="en-US" sz="1600" b="1" baseline="0">
              <a:solidFill>
                <a:schemeClr val="bg2">
                  <a:lumMod val="50000"/>
                </a:schemeClr>
              </a:solidFill>
            </a:rPr>
            <a:t> flag</a:t>
          </a:r>
        </a:p>
        <a:p>
          <a:endParaRPr lang="en-US" sz="1400" b="1" baseline="0">
            <a:solidFill>
              <a:schemeClr val="bg2">
                <a:lumMod val="50000"/>
              </a:schemeClr>
            </a:solidFill>
          </a:endParaRPr>
        </a:p>
        <a:p>
          <a:r>
            <a:rPr lang="en-US" sz="1400" b="0">
              <a:solidFill>
                <a:schemeClr val="bg2">
                  <a:lumMod val="50000"/>
                </a:schemeClr>
              </a:solidFill>
            </a:rPr>
            <a:t>Condition: max_order &lt; </a:t>
          </a:r>
        </a:p>
        <a:p>
          <a:r>
            <a:rPr lang="en-US" sz="1400" b="0">
              <a:solidFill>
                <a:schemeClr val="bg2">
                  <a:lumMod val="50000"/>
                </a:schemeClr>
              </a:solidFill>
            </a:rPr>
            <a:t>Obervations</a:t>
          </a:r>
          <a:r>
            <a:rPr lang="en-US" sz="1400" b="0" baseline="0">
              <a:solidFill>
                <a:schemeClr val="bg2">
                  <a:lumMod val="50000"/>
                </a:schemeClr>
              </a:solidFill>
            </a:rPr>
            <a:t> to be removed: </a:t>
          </a:r>
        </a:p>
        <a:p>
          <a:r>
            <a:rPr lang="en-US" sz="1400" b="0" baseline="0">
              <a:solidFill>
                <a:schemeClr val="bg2">
                  <a:lumMod val="50000"/>
                </a:schemeClr>
              </a:solidFill>
            </a:rPr>
            <a:t>Final total count of order_products_all: </a:t>
          </a:r>
          <a:endParaRPr lang="en-US" sz="1400" b="1">
            <a:solidFill>
              <a:schemeClr val="bg2">
                <a:lumMod val="50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589152</xdr:colOff>
      <xdr:row>0</xdr:row>
      <xdr:rowOff>33513</xdr:rowOff>
    </xdr:from>
    <xdr:to>
      <xdr:col>1</xdr:col>
      <xdr:colOff>1148173</xdr:colOff>
      <xdr:row>1</xdr:row>
      <xdr:rowOff>75847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9152" y="33513"/>
          <a:ext cx="1151159" cy="224897"/>
        </a:xfrm>
        <a:prstGeom prst="rect">
          <a:avLst/>
        </a:prstGeom>
      </xdr:spPr>
    </xdr:pic>
    <xdr:clientData/>
  </xdr:twoCellAnchor>
  <xdr:twoCellAnchor>
    <xdr:from>
      <xdr:col>0</xdr:col>
      <xdr:colOff>321906</xdr:colOff>
      <xdr:row>3</xdr:row>
      <xdr:rowOff>156982</xdr:rowOff>
    </xdr:from>
    <xdr:to>
      <xdr:col>5</xdr:col>
      <xdr:colOff>7938</xdr:colOff>
      <xdr:row>3</xdr:row>
      <xdr:rowOff>156982</xdr:rowOff>
    </xdr:to>
    <xdr:cxnSp macro="">
      <xdr:nvCxnSpPr>
        <xdr:cNvPr id="3" name="Straight Connector 2">
          <a:extLst>
            <a:ext uri="{FF2B5EF4-FFF2-40B4-BE49-F238E27FC236}">
              <a16:creationId xmlns:a16="http://schemas.microsoft.com/office/drawing/2014/main" id="{00000000-0008-0000-0200-000003000000}"/>
            </a:ext>
          </a:extLst>
        </xdr:cNvPr>
        <xdr:cNvCxnSpPr/>
      </xdr:nvCxnSpPr>
      <xdr:spPr>
        <a:xfrm>
          <a:off x="321906" y="704670"/>
          <a:ext cx="7131407" cy="0"/>
        </a:xfrm>
        <a:prstGeom prst="line">
          <a:avLst/>
        </a:prstGeom>
        <a:ln w="2857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237943</xdr:colOff>
      <xdr:row>1</xdr:row>
      <xdr:rowOff>149927</xdr:rowOff>
    </xdr:from>
    <xdr:to>
      <xdr:col>2</xdr:col>
      <xdr:colOff>1470522</xdr:colOff>
      <xdr:row>3</xdr:row>
      <xdr:rowOff>93482</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237943" y="332490"/>
          <a:ext cx="3113767" cy="3086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2">
                  <a:lumMod val="50000"/>
                </a:schemeClr>
              </a:solidFill>
            </a:rPr>
            <a:t>Consistency checks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8831</xdr:colOff>
      <xdr:row>0</xdr:row>
      <xdr:rowOff>35280</xdr:rowOff>
    </xdr:from>
    <xdr:to>
      <xdr:col>1</xdr:col>
      <xdr:colOff>1159990</xdr:colOff>
      <xdr:row>1</xdr:row>
      <xdr:rowOff>77614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0019" y="35280"/>
          <a:ext cx="1151159" cy="224897"/>
        </a:xfrm>
        <a:prstGeom prst="rect">
          <a:avLst/>
        </a:prstGeom>
      </xdr:spPr>
    </xdr:pic>
    <xdr:clientData/>
  </xdr:twoCellAnchor>
  <xdr:twoCellAnchor>
    <xdr:from>
      <xdr:col>1</xdr:col>
      <xdr:colOff>2642</xdr:colOff>
      <xdr:row>3</xdr:row>
      <xdr:rowOff>164916</xdr:rowOff>
    </xdr:from>
    <xdr:to>
      <xdr:col>4</xdr:col>
      <xdr:colOff>3119438</xdr:colOff>
      <xdr:row>3</xdr:row>
      <xdr:rowOff>164916</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a:off x="312205" y="712604"/>
          <a:ext cx="8680983" cy="0"/>
        </a:xfrm>
        <a:prstGeom prst="line">
          <a:avLst/>
        </a:prstGeom>
        <a:ln w="2857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247649</xdr:colOff>
      <xdr:row>1</xdr:row>
      <xdr:rowOff>174619</xdr:rowOff>
    </xdr:from>
    <xdr:to>
      <xdr:col>2</xdr:col>
      <xdr:colOff>1322033</xdr:colOff>
      <xdr:row>3</xdr:row>
      <xdr:rowOff>126994</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247649" y="357182"/>
          <a:ext cx="3273072" cy="317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2">
                  <a:lumMod val="50000"/>
                </a:schemeClr>
              </a:solidFill>
            </a:rPr>
            <a:t>Wrangling steps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17655</xdr:colOff>
      <xdr:row>0</xdr:row>
      <xdr:rowOff>42336</xdr:rowOff>
    </xdr:from>
    <xdr:to>
      <xdr:col>1</xdr:col>
      <xdr:colOff>1168814</xdr:colOff>
      <xdr:row>1</xdr:row>
      <xdr:rowOff>84670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8843" y="42336"/>
          <a:ext cx="1151159" cy="224897"/>
        </a:xfrm>
        <a:prstGeom prst="rect">
          <a:avLst/>
        </a:prstGeom>
      </xdr:spPr>
    </xdr:pic>
    <xdr:clientData/>
  </xdr:twoCellAnchor>
  <xdr:twoCellAnchor>
    <xdr:from>
      <xdr:col>1</xdr:col>
      <xdr:colOff>2637</xdr:colOff>
      <xdr:row>3</xdr:row>
      <xdr:rowOff>171978</xdr:rowOff>
    </xdr:from>
    <xdr:to>
      <xdr:col>5</xdr:col>
      <xdr:colOff>0</xdr:colOff>
      <xdr:row>3</xdr:row>
      <xdr:rowOff>171978</xdr:rowOff>
    </xdr:to>
    <xdr:cxnSp macro="">
      <xdr:nvCxnSpPr>
        <xdr:cNvPr id="3" name="Straight Connector 2">
          <a:extLst>
            <a:ext uri="{FF2B5EF4-FFF2-40B4-BE49-F238E27FC236}">
              <a16:creationId xmlns:a16="http://schemas.microsoft.com/office/drawing/2014/main" id="{00000000-0008-0000-0400-000003000000}"/>
            </a:ext>
          </a:extLst>
        </xdr:cNvPr>
        <xdr:cNvCxnSpPr/>
      </xdr:nvCxnSpPr>
      <xdr:spPr>
        <a:xfrm>
          <a:off x="304262" y="719666"/>
          <a:ext cx="6148926" cy="0"/>
        </a:xfrm>
        <a:prstGeom prst="line">
          <a:avLst/>
        </a:prstGeom>
        <a:ln w="2857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233357</xdr:colOff>
      <xdr:row>2</xdr:row>
      <xdr:rowOff>0</xdr:rowOff>
    </xdr:from>
    <xdr:to>
      <xdr:col>6</xdr:col>
      <xdr:colOff>0</xdr:colOff>
      <xdr:row>3</xdr:row>
      <xdr:rowOff>134056</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233357" y="365125"/>
          <a:ext cx="4298950" cy="3166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2">
                  <a:lumMod val="50000"/>
                </a:schemeClr>
              </a:solidFill>
            </a:rPr>
            <a:t>Column derivations and aggregations</a:t>
          </a:r>
        </a:p>
      </xdr:txBody>
    </xdr:sp>
    <xdr:clientData/>
  </xdr:twoCellAnchor>
  <xdr:twoCellAnchor>
    <xdr:from>
      <xdr:col>5</xdr:col>
      <xdr:colOff>500062</xdr:colOff>
      <xdr:row>4</xdr:row>
      <xdr:rowOff>79382</xdr:rowOff>
    </xdr:from>
    <xdr:to>
      <xdr:col>16</xdr:col>
      <xdr:colOff>384359</xdr:colOff>
      <xdr:row>6</xdr:row>
      <xdr:rowOff>444500</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10485437" y="809632"/>
          <a:ext cx="6694672" cy="825493"/>
        </a:xfrm>
        <a:prstGeom prst="rect">
          <a:avLst/>
        </a:prstGeom>
        <a:solidFill>
          <a:schemeClr val="lt1"/>
        </a:solidFill>
        <a:ln w="19050"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 this tab you should add </a:t>
          </a:r>
          <a:r>
            <a:rPr lang="en-US" sz="1100" baseline="0"/>
            <a:t>tables </a:t>
          </a:r>
          <a:r>
            <a:rPr lang="en-US" sz="1100">
              <a:solidFill>
                <a:schemeClr val="dk1"/>
              </a:solidFill>
              <a:effectLst/>
              <a:latin typeface="+mn-lt"/>
              <a:ea typeface="+mn-ea"/>
              <a:cs typeface="+mn-cs"/>
            </a:rPr>
            <a:t>below that </a:t>
          </a:r>
          <a:r>
            <a:rPr lang="en-US" sz="1100" baseline="0"/>
            <a:t>the frequences of flags/label variables that you produced after deriving them. NB: don't do this for continuous variables, only for flags.</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280811</xdr:colOff>
      <xdr:row>4</xdr:row>
      <xdr:rowOff>182740</xdr:rowOff>
    </xdr:from>
    <xdr:to>
      <xdr:col>12</xdr:col>
      <xdr:colOff>528461</xdr:colOff>
      <xdr:row>7</xdr:row>
      <xdr:rowOff>148168</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80811" y="916518"/>
          <a:ext cx="7282039" cy="515761"/>
        </a:xfrm>
        <a:prstGeom prst="rect">
          <a:avLst/>
        </a:prstGeom>
        <a:solidFill>
          <a:schemeClr val="lt1"/>
        </a:solidFill>
        <a:ln w="19050"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 this tab you should include</a:t>
          </a:r>
          <a:r>
            <a:rPr lang="en-US" sz="1100" baseline="0"/>
            <a:t> all the visualtions from Exercises 4.9 and 4.10, alongside  the questions from the project brief that they answer. Include any commentary on the relationship between different variables.</a:t>
          </a:r>
          <a:endParaRPr lang="en-US" sz="1100"/>
        </a:p>
      </xdr:txBody>
    </xdr:sp>
    <xdr:clientData/>
  </xdr:twoCellAnchor>
  <xdr:twoCellAnchor editAs="oneCell">
    <xdr:from>
      <xdr:col>0</xdr:col>
      <xdr:colOff>594792</xdr:colOff>
      <xdr:row>0</xdr:row>
      <xdr:rowOff>44450</xdr:rowOff>
    </xdr:from>
    <xdr:to>
      <xdr:col>1</xdr:col>
      <xdr:colOff>1084095</xdr:colOff>
      <xdr:row>1</xdr:row>
      <xdr:rowOff>66488</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4792" y="44450"/>
          <a:ext cx="1076678" cy="211832"/>
        </a:xfrm>
        <a:prstGeom prst="rect">
          <a:avLst/>
        </a:prstGeom>
      </xdr:spPr>
    </xdr:pic>
    <xdr:clientData/>
  </xdr:twoCellAnchor>
  <xdr:twoCellAnchor>
    <xdr:from>
      <xdr:col>1</xdr:col>
      <xdr:colOff>70905</xdr:colOff>
      <xdr:row>3</xdr:row>
      <xdr:rowOff>171097</xdr:rowOff>
    </xdr:from>
    <xdr:to>
      <xdr:col>12</xdr:col>
      <xdr:colOff>522111</xdr:colOff>
      <xdr:row>3</xdr:row>
      <xdr:rowOff>171097</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a:off x="353127" y="721430"/>
          <a:ext cx="7203373" cy="0"/>
        </a:xfrm>
        <a:prstGeom prst="line">
          <a:avLst/>
        </a:prstGeom>
        <a:ln w="2857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2</xdr:row>
      <xdr:rowOff>0</xdr:rowOff>
    </xdr:from>
    <xdr:to>
      <xdr:col>7</xdr:col>
      <xdr:colOff>608013</xdr:colOff>
      <xdr:row>3</xdr:row>
      <xdr:rowOff>133175</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282222" y="366889"/>
          <a:ext cx="4291013" cy="3166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2">
                  <a:lumMod val="50000"/>
                </a:schemeClr>
              </a:solidFill>
            </a:rPr>
            <a:t>Visualisations</a:t>
          </a:r>
        </a:p>
      </xdr:txBody>
    </xdr:sp>
    <xdr:clientData/>
  </xdr:twoCellAnchor>
  <xdr:twoCellAnchor editAs="oneCell">
    <xdr:from>
      <xdr:col>2</xdr:col>
      <xdr:colOff>8732</xdr:colOff>
      <xdr:row>11</xdr:row>
      <xdr:rowOff>1</xdr:rowOff>
    </xdr:from>
    <xdr:to>
      <xdr:col>2</xdr:col>
      <xdr:colOff>4916580</xdr:colOff>
      <xdr:row>31</xdr:row>
      <xdr:rowOff>164913</xdr:rowOff>
    </xdr:to>
    <xdr:pic>
      <xdr:nvPicPr>
        <xdr:cNvPr id="14" name="Picture 13">
          <a:extLst>
            <a:ext uri="{FF2B5EF4-FFF2-40B4-BE49-F238E27FC236}">
              <a16:creationId xmlns:a16="http://schemas.microsoft.com/office/drawing/2014/main" id="{E753050F-C90A-4A62-8678-CF957BF2656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19467" y="2339229"/>
          <a:ext cx="4907848" cy="3809999"/>
        </a:xfrm>
        <a:prstGeom prst="rect">
          <a:avLst/>
        </a:prstGeom>
        <a:ln w="12700">
          <a:solidFill>
            <a:schemeClr val="tx1"/>
          </a:solidFill>
        </a:ln>
      </xdr:spPr>
    </xdr:pic>
    <xdr:clientData/>
  </xdr:twoCellAnchor>
  <xdr:twoCellAnchor editAs="oneCell">
    <xdr:from>
      <xdr:col>4</xdr:col>
      <xdr:colOff>31190</xdr:colOff>
      <xdr:row>11</xdr:row>
      <xdr:rowOff>14007</xdr:rowOff>
    </xdr:from>
    <xdr:to>
      <xdr:col>4</xdr:col>
      <xdr:colOff>4908131</xdr:colOff>
      <xdr:row>32</xdr:row>
      <xdr:rowOff>20265</xdr:rowOff>
    </xdr:to>
    <xdr:pic>
      <xdr:nvPicPr>
        <xdr:cNvPr id="18" name="Picture 17">
          <a:extLst>
            <a:ext uri="{FF2B5EF4-FFF2-40B4-BE49-F238E27FC236}">
              <a16:creationId xmlns:a16="http://schemas.microsoft.com/office/drawing/2014/main" id="{59637FC2-E099-48D6-B165-F5E4C644637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5103102" y="2353235"/>
          <a:ext cx="4873766" cy="3830265"/>
        </a:xfrm>
        <a:prstGeom prst="rect">
          <a:avLst/>
        </a:prstGeom>
        <a:ln w="12700">
          <a:solidFill>
            <a:schemeClr val="tx1"/>
          </a:solidFill>
        </a:ln>
      </xdr:spPr>
    </xdr:pic>
    <xdr:clientData/>
  </xdr:twoCellAnchor>
  <xdr:twoCellAnchor editAs="oneCell">
    <xdr:from>
      <xdr:col>5</xdr:col>
      <xdr:colOff>1</xdr:colOff>
      <xdr:row>11</xdr:row>
      <xdr:rowOff>8732</xdr:rowOff>
    </xdr:from>
    <xdr:to>
      <xdr:col>5</xdr:col>
      <xdr:colOff>4916581</xdr:colOff>
      <xdr:row>31</xdr:row>
      <xdr:rowOff>154782</xdr:rowOff>
    </xdr:to>
    <xdr:pic>
      <xdr:nvPicPr>
        <xdr:cNvPr id="22" name="Picture 21">
          <a:extLst>
            <a:ext uri="{FF2B5EF4-FFF2-40B4-BE49-F238E27FC236}">
              <a16:creationId xmlns:a16="http://schemas.microsoft.com/office/drawing/2014/main" id="{9A87889C-6CB1-496A-86D3-5E80D19BAEE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0002501" y="2347960"/>
          <a:ext cx="4916580" cy="3787962"/>
        </a:xfrm>
        <a:prstGeom prst="rect">
          <a:avLst/>
        </a:prstGeom>
        <a:ln w="12700">
          <a:solidFill>
            <a:schemeClr val="tx1"/>
          </a:solidFill>
        </a:ln>
      </xdr:spPr>
    </xdr:pic>
    <xdr:clientData/>
  </xdr:twoCellAnchor>
  <xdr:twoCellAnchor editAs="oneCell">
    <xdr:from>
      <xdr:col>3</xdr:col>
      <xdr:colOff>-1</xdr:colOff>
      <xdr:row>11</xdr:row>
      <xdr:rowOff>26987</xdr:rowOff>
    </xdr:from>
    <xdr:to>
      <xdr:col>4</xdr:col>
      <xdr:colOff>7656</xdr:colOff>
      <xdr:row>32</xdr:row>
      <xdr:rowOff>0</xdr:rowOff>
    </xdr:to>
    <xdr:pic>
      <xdr:nvPicPr>
        <xdr:cNvPr id="24" name="Picture 23">
          <a:extLst>
            <a:ext uri="{FF2B5EF4-FFF2-40B4-BE49-F238E27FC236}">
              <a16:creationId xmlns:a16="http://schemas.microsoft.com/office/drawing/2014/main" id="{CBF404A1-1E93-4A95-94EA-27752A61759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141323" y="2366215"/>
          <a:ext cx="4941420" cy="3797020"/>
        </a:xfrm>
        <a:prstGeom prst="rect">
          <a:avLst/>
        </a:prstGeom>
        <a:ln w="12700">
          <a:solidFill>
            <a:schemeClr val="tx1"/>
          </a:solidFill>
        </a:ln>
      </xdr:spPr>
    </xdr:pic>
    <xdr:clientData/>
  </xdr:twoCellAnchor>
  <xdr:twoCellAnchor editAs="oneCell">
    <xdr:from>
      <xdr:col>1</xdr:col>
      <xdr:colOff>47578</xdr:colOff>
      <xdr:row>38</xdr:row>
      <xdr:rowOff>26986</xdr:rowOff>
    </xdr:from>
    <xdr:to>
      <xdr:col>1</xdr:col>
      <xdr:colOff>4885391</xdr:colOff>
      <xdr:row>63</xdr:row>
      <xdr:rowOff>8731</xdr:rowOff>
    </xdr:to>
    <xdr:pic>
      <xdr:nvPicPr>
        <xdr:cNvPr id="28" name="Picture 27">
          <a:extLst>
            <a:ext uri="{FF2B5EF4-FFF2-40B4-BE49-F238E27FC236}">
              <a16:creationId xmlns:a16="http://schemas.microsoft.com/office/drawing/2014/main" id="{93839A95-F954-49B6-B194-0B509B4B629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27725" y="8417390"/>
          <a:ext cx="4840988" cy="4537310"/>
        </a:xfrm>
        <a:prstGeom prst="rect">
          <a:avLst/>
        </a:prstGeom>
        <a:ln w="12700">
          <a:solidFill>
            <a:schemeClr val="tx1"/>
          </a:solidFill>
        </a:ln>
      </xdr:spPr>
    </xdr:pic>
    <xdr:clientData/>
  </xdr:twoCellAnchor>
  <xdr:twoCellAnchor editAs="oneCell">
    <xdr:from>
      <xdr:col>2</xdr:col>
      <xdr:colOff>1</xdr:colOff>
      <xdr:row>38</xdr:row>
      <xdr:rowOff>10832</xdr:rowOff>
    </xdr:from>
    <xdr:to>
      <xdr:col>3</xdr:col>
      <xdr:colOff>28015</xdr:colOff>
      <xdr:row>63</xdr:row>
      <xdr:rowOff>7657</xdr:rowOff>
    </xdr:to>
    <xdr:pic>
      <xdr:nvPicPr>
        <xdr:cNvPr id="30" name="Picture 29">
          <a:extLst>
            <a:ext uri="{FF2B5EF4-FFF2-40B4-BE49-F238E27FC236}">
              <a16:creationId xmlns:a16="http://schemas.microsoft.com/office/drawing/2014/main" id="{381B3BE5-D455-4A67-90CB-AF6D804D76D1}"/>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210736" y="8401236"/>
          <a:ext cx="4961778" cy="4552390"/>
        </a:xfrm>
        <a:prstGeom prst="rect">
          <a:avLst/>
        </a:prstGeom>
        <a:ln w="12700">
          <a:solidFill>
            <a:schemeClr val="tx1"/>
          </a:solidFill>
        </a:ln>
      </xdr:spPr>
    </xdr:pic>
    <xdr:clientData/>
  </xdr:twoCellAnchor>
  <xdr:twoCellAnchor editAs="oneCell">
    <xdr:from>
      <xdr:col>3</xdr:col>
      <xdr:colOff>11906</xdr:colOff>
      <xdr:row>38</xdr:row>
      <xdr:rowOff>11905</xdr:rowOff>
    </xdr:from>
    <xdr:to>
      <xdr:col>4</xdr:col>
      <xdr:colOff>0</xdr:colOff>
      <xdr:row>63</xdr:row>
      <xdr:rowOff>3174</xdr:rowOff>
    </xdr:to>
    <xdr:pic>
      <xdr:nvPicPr>
        <xdr:cNvPr id="34" name="Picture 33">
          <a:extLst>
            <a:ext uri="{FF2B5EF4-FFF2-40B4-BE49-F238E27FC236}">
              <a16:creationId xmlns:a16="http://schemas.microsoft.com/office/drawing/2014/main" id="{48288875-6E56-4EA7-B9F4-3624E589220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0153230" y="8402309"/>
          <a:ext cx="4918682" cy="4543659"/>
        </a:xfrm>
        <a:prstGeom prst="rect">
          <a:avLst/>
        </a:prstGeom>
        <a:ln w="12700">
          <a:solidFill>
            <a:schemeClr val="tx1"/>
          </a:solidFill>
        </a:ln>
      </xdr:spPr>
    </xdr:pic>
    <xdr:clientData/>
  </xdr:twoCellAnchor>
  <xdr:twoCellAnchor editAs="oneCell">
    <xdr:from>
      <xdr:col>4</xdr:col>
      <xdr:colOff>0</xdr:colOff>
      <xdr:row>38</xdr:row>
      <xdr:rowOff>1</xdr:rowOff>
    </xdr:from>
    <xdr:to>
      <xdr:col>4</xdr:col>
      <xdr:colOff>4905748</xdr:colOff>
      <xdr:row>63</xdr:row>
      <xdr:rowOff>1</xdr:rowOff>
    </xdr:to>
    <xdr:pic>
      <xdr:nvPicPr>
        <xdr:cNvPr id="40" name="Picture 39">
          <a:extLst>
            <a:ext uri="{FF2B5EF4-FFF2-40B4-BE49-F238E27FC236}">
              <a16:creationId xmlns:a16="http://schemas.microsoft.com/office/drawing/2014/main" id="{090A1470-86AA-4B27-BCF9-B5C5B241CC5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5071912" y="8390405"/>
          <a:ext cx="4902573" cy="4552390"/>
        </a:xfrm>
        <a:prstGeom prst="rect">
          <a:avLst/>
        </a:prstGeom>
        <a:ln w="12700">
          <a:solidFill>
            <a:schemeClr val="tx1"/>
          </a:solidFill>
        </a:ln>
      </xdr:spPr>
    </xdr:pic>
    <xdr:clientData/>
  </xdr:twoCellAnchor>
  <xdr:twoCellAnchor editAs="oneCell">
    <xdr:from>
      <xdr:col>0</xdr:col>
      <xdr:colOff>270388</xdr:colOff>
      <xdr:row>69</xdr:row>
      <xdr:rowOff>16156</xdr:rowOff>
    </xdr:from>
    <xdr:to>
      <xdr:col>1</xdr:col>
      <xdr:colOff>4926105</xdr:colOff>
      <xdr:row>93</xdr:row>
      <xdr:rowOff>144557</xdr:rowOff>
    </xdr:to>
    <xdr:pic>
      <xdr:nvPicPr>
        <xdr:cNvPr id="42" name="Picture 41">
          <a:extLst>
            <a:ext uri="{FF2B5EF4-FFF2-40B4-BE49-F238E27FC236}">
              <a16:creationId xmlns:a16="http://schemas.microsoft.com/office/drawing/2014/main" id="{1C7A9F8F-0DC9-4635-A515-EF8ABB56C17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70388" y="14681855"/>
          <a:ext cx="4932689" cy="4501870"/>
        </a:xfrm>
        <a:prstGeom prst="rect">
          <a:avLst/>
        </a:prstGeom>
        <a:ln w="12700">
          <a:solidFill>
            <a:schemeClr val="tx1"/>
          </a:solidFill>
        </a:ln>
      </xdr:spPr>
    </xdr:pic>
    <xdr:clientData/>
  </xdr:twoCellAnchor>
  <xdr:twoCellAnchor editAs="oneCell">
    <xdr:from>
      <xdr:col>2</xdr:col>
      <xdr:colOff>11906</xdr:colOff>
      <xdr:row>69</xdr:row>
      <xdr:rowOff>25913</xdr:rowOff>
    </xdr:from>
    <xdr:to>
      <xdr:col>3</xdr:col>
      <xdr:colOff>7657</xdr:colOff>
      <xdr:row>94</xdr:row>
      <xdr:rowOff>25912</xdr:rowOff>
    </xdr:to>
    <xdr:pic>
      <xdr:nvPicPr>
        <xdr:cNvPr id="45" name="Picture 44">
          <a:extLst>
            <a:ext uri="{FF2B5EF4-FFF2-40B4-BE49-F238E27FC236}">
              <a16:creationId xmlns:a16="http://schemas.microsoft.com/office/drawing/2014/main" id="{3AA98AB8-00A0-41A8-AE8B-7281A6C162ED}"/>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5222641" y="14691612"/>
          <a:ext cx="4929515" cy="4549213"/>
        </a:xfrm>
        <a:prstGeom prst="rect">
          <a:avLst/>
        </a:prstGeom>
        <a:ln w="12700">
          <a:solidFill>
            <a:schemeClr val="tx1"/>
          </a:solidFill>
        </a:ln>
      </xdr:spPr>
    </xdr:pic>
    <xdr:clientData/>
  </xdr:twoCellAnchor>
  <xdr:twoCellAnchor editAs="oneCell">
    <xdr:from>
      <xdr:col>5</xdr:col>
      <xdr:colOff>36747</xdr:colOff>
      <xdr:row>69</xdr:row>
      <xdr:rowOff>29089</xdr:rowOff>
    </xdr:from>
    <xdr:to>
      <xdr:col>6</xdr:col>
      <xdr:colOff>10833</xdr:colOff>
      <xdr:row>94</xdr:row>
      <xdr:rowOff>1775</xdr:rowOff>
    </xdr:to>
    <xdr:pic>
      <xdr:nvPicPr>
        <xdr:cNvPr id="55" name="Picture 54">
          <a:extLst>
            <a:ext uri="{FF2B5EF4-FFF2-40B4-BE49-F238E27FC236}">
              <a16:creationId xmlns:a16="http://schemas.microsoft.com/office/drawing/2014/main" id="{610683ED-29B8-4A71-9EE7-03E376EE3B96}"/>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0039247" y="14694788"/>
          <a:ext cx="4907849" cy="4525075"/>
        </a:xfrm>
        <a:prstGeom prst="rect">
          <a:avLst/>
        </a:prstGeom>
        <a:ln w="12700">
          <a:solidFill>
            <a:schemeClr val="tx1"/>
          </a:solidFill>
        </a:ln>
      </xdr:spPr>
    </xdr:pic>
    <xdr:clientData/>
  </xdr:twoCellAnchor>
  <xdr:twoCellAnchor editAs="oneCell">
    <xdr:from>
      <xdr:col>1</xdr:col>
      <xdr:colOff>12232</xdr:colOff>
      <xdr:row>100</xdr:row>
      <xdr:rowOff>25912</xdr:rowOff>
    </xdr:from>
    <xdr:to>
      <xdr:col>1</xdr:col>
      <xdr:colOff>4924237</xdr:colOff>
      <xdr:row>125</xdr:row>
      <xdr:rowOff>70037</xdr:rowOff>
    </xdr:to>
    <xdr:pic>
      <xdr:nvPicPr>
        <xdr:cNvPr id="59" name="Picture 58">
          <a:extLst>
            <a:ext uri="{FF2B5EF4-FFF2-40B4-BE49-F238E27FC236}">
              <a16:creationId xmlns:a16="http://schemas.microsoft.com/office/drawing/2014/main" id="{90CC083F-E847-4A91-9BE7-A3CB3E40F7B8}"/>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92379" y="21247052"/>
          <a:ext cx="4912005" cy="4596514"/>
        </a:xfrm>
        <a:prstGeom prst="rect">
          <a:avLst/>
        </a:prstGeom>
        <a:ln w="12700">
          <a:solidFill>
            <a:schemeClr val="tx1"/>
          </a:solidFill>
        </a:ln>
      </xdr:spPr>
    </xdr:pic>
    <xdr:clientData/>
  </xdr:twoCellAnchor>
  <xdr:twoCellAnchor editAs="oneCell">
    <xdr:from>
      <xdr:col>2</xdr:col>
      <xdr:colOff>14008</xdr:colOff>
      <xdr:row>100</xdr:row>
      <xdr:rowOff>14008</xdr:rowOff>
    </xdr:from>
    <xdr:to>
      <xdr:col>2</xdr:col>
      <xdr:colOff>4902574</xdr:colOff>
      <xdr:row>125</xdr:row>
      <xdr:rowOff>65553</xdr:rowOff>
    </xdr:to>
    <xdr:pic>
      <xdr:nvPicPr>
        <xdr:cNvPr id="61" name="Picture 60">
          <a:extLst>
            <a:ext uri="{FF2B5EF4-FFF2-40B4-BE49-F238E27FC236}">
              <a16:creationId xmlns:a16="http://schemas.microsoft.com/office/drawing/2014/main" id="{3ABC3CC2-E97A-41C1-B7C7-60077CABB96E}"/>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224743" y="21193126"/>
          <a:ext cx="4885391" cy="4600759"/>
        </a:xfrm>
        <a:prstGeom prst="rect">
          <a:avLst/>
        </a:prstGeom>
        <a:ln w="12700">
          <a:solidFill>
            <a:schemeClr val="tx1"/>
          </a:solidFill>
        </a:ln>
      </xdr:spPr>
    </xdr:pic>
    <xdr:clientData/>
  </xdr:twoCellAnchor>
  <xdr:twoCellAnchor editAs="oneCell">
    <xdr:from>
      <xdr:col>4</xdr:col>
      <xdr:colOff>31188</xdr:colOff>
      <xdr:row>100</xdr:row>
      <xdr:rowOff>14007</xdr:rowOff>
    </xdr:from>
    <xdr:to>
      <xdr:col>5</xdr:col>
      <xdr:colOff>31188</xdr:colOff>
      <xdr:row>125</xdr:row>
      <xdr:rowOff>1</xdr:rowOff>
    </xdr:to>
    <xdr:pic>
      <xdr:nvPicPr>
        <xdr:cNvPr id="64" name="Picture 63">
          <a:extLst>
            <a:ext uri="{FF2B5EF4-FFF2-40B4-BE49-F238E27FC236}">
              <a16:creationId xmlns:a16="http://schemas.microsoft.com/office/drawing/2014/main" id="{70C4EB23-96DF-45BD-AFEF-7B7F41CF04A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5103100" y="21235147"/>
          <a:ext cx="4930588" cy="4538383"/>
        </a:xfrm>
        <a:prstGeom prst="rect">
          <a:avLst/>
        </a:prstGeom>
        <a:ln w="12700">
          <a:solidFill>
            <a:schemeClr val="tx1"/>
          </a:solidFill>
        </a:ln>
      </xdr:spPr>
    </xdr:pic>
    <xdr:clientData/>
  </xdr:twoCellAnchor>
  <xdr:twoCellAnchor editAs="oneCell">
    <xdr:from>
      <xdr:col>3</xdr:col>
      <xdr:colOff>0</xdr:colOff>
      <xdr:row>100</xdr:row>
      <xdr:rowOff>14005</xdr:rowOff>
    </xdr:from>
    <xdr:to>
      <xdr:col>4</xdr:col>
      <xdr:colOff>7658</xdr:colOff>
      <xdr:row>125</xdr:row>
      <xdr:rowOff>653</xdr:rowOff>
    </xdr:to>
    <xdr:pic>
      <xdr:nvPicPr>
        <xdr:cNvPr id="67" name="Picture 66">
          <a:extLst>
            <a:ext uri="{FF2B5EF4-FFF2-40B4-BE49-F238E27FC236}">
              <a16:creationId xmlns:a16="http://schemas.microsoft.com/office/drawing/2014/main" id="{12E0713B-1AD6-46FF-A17E-38E964C23822}"/>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141324" y="21193123"/>
          <a:ext cx="4938246" cy="4535862"/>
        </a:xfrm>
        <a:prstGeom prst="rect">
          <a:avLst/>
        </a:prstGeom>
        <a:ln w="12700">
          <a:solidFill>
            <a:schemeClr val="tx1"/>
          </a:solidFill>
        </a:ln>
      </xdr:spPr>
    </xdr:pic>
    <xdr:clientData/>
  </xdr:twoCellAnchor>
  <xdr:twoCellAnchor editAs="oneCell">
    <xdr:from>
      <xdr:col>0</xdr:col>
      <xdr:colOff>273795</xdr:colOff>
      <xdr:row>11</xdr:row>
      <xdr:rowOff>1</xdr:rowOff>
    </xdr:from>
    <xdr:to>
      <xdr:col>1</xdr:col>
      <xdr:colOff>4916580</xdr:colOff>
      <xdr:row>32</xdr:row>
      <xdr:rowOff>10833</xdr:rowOff>
    </xdr:to>
    <xdr:pic>
      <xdr:nvPicPr>
        <xdr:cNvPr id="71" name="Picture 70">
          <a:extLst>
            <a:ext uri="{FF2B5EF4-FFF2-40B4-BE49-F238E27FC236}">
              <a16:creationId xmlns:a16="http://schemas.microsoft.com/office/drawing/2014/main" id="{8567F2AC-033C-4478-A671-C8DE1FB970D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73795" y="2339229"/>
          <a:ext cx="4922932" cy="3838014"/>
        </a:xfrm>
        <a:prstGeom prst="rect">
          <a:avLst/>
        </a:prstGeom>
        <a:ln w="12700">
          <a:solidFill>
            <a:schemeClr val="tx1"/>
          </a:solidFill>
        </a:ln>
      </xdr:spPr>
    </xdr:pic>
    <xdr:clientData/>
  </xdr:twoCellAnchor>
  <xdr:twoCellAnchor editAs="oneCell">
    <xdr:from>
      <xdr:col>5</xdr:col>
      <xdr:colOff>17183</xdr:colOff>
      <xdr:row>100</xdr:row>
      <xdr:rowOff>17183</xdr:rowOff>
    </xdr:from>
    <xdr:to>
      <xdr:col>6</xdr:col>
      <xdr:colOff>21665</xdr:colOff>
      <xdr:row>125</xdr:row>
      <xdr:rowOff>17183</xdr:rowOff>
    </xdr:to>
    <xdr:pic>
      <xdr:nvPicPr>
        <xdr:cNvPr id="77" name="Picture 76">
          <a:extLst>
            <a:ext uri="{FF2B5EF4-FFF2-40B4-BE49-F238E27FC236}">
              <a16:creationId xmlns:a16="http://schemas.microsoft.com/office/drawing/2014/main" id="{71BD4FC2-85B9-408B-A37C-6C0548B72247}"/>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0019683" y="21196301"/>
          <a:ext cx="4935070" cy="4552389"/>
        </a:xfrm>
        <a:prstGeom prst="rect">
          <a:avLst/>
        </a:prstGeom>
        <a:ln w="12700">
          <a:solidFill>
            <a:schemeClr val="tx1"/>
          </a:solidFill>
        </a:ln>
      </xdr:spPr>
    </xdr:pic>
    <xdr:clientData/>
  </xdr:twoCellAnchor>
  <xdr:twoCellAnchor editAs="oneCell">
    <xdr:from>
      <xdr:col>5</xdr:col>
      <xdr:colOff>1</xdr:colOff>
      <xdr:row>38</xdr:row>
      <xdr:rowOff>10832</xdr:rowOff>
    </xdr:from>
    <xdr:to>
      <xdr:col>6</xdr:col>
      <xdr:colOff>1</xdr:colOff>
      <xdr:row>63</xdr:row>
      <xdr:rowOff>0</xdr:rowOff>
    </xdr:to>
    <xdr:pic>
      <xdr:nvPicPr>
        <xdr:cNvPr id="79" name="Picture 78">
          <a:extLst>
            <a:ext uri="{FF2B5EF4-FFF2-40B4-BE49-F238E27FC236}">
              <a16:creationId xmlns:a16="http://schemas.microsoft.com/office/drawing/2014/main" id="{274D5882-D3FE-4F84-84C7-B04DBDDF392F}"/>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0002501" y="8163111"/>
          <a:ext cx="4930588" cy="4541558"/>
        </a:xfrm>
        <a:prstGeom prst="rect">
          <a:avLst/>
        </a:prstGeom>
        <a:ln w="12700">
          <a:solidFill>
            <a:schemeClr val="tx1"/>
          </a:solidFill>
        </a:ln>
      </xdr:spPr>
    </xdr:pic>
    <xdr:clientData/>
  </xdr:twoCellAnchor>
  <xdr:twoCellAnchor editAs="oneCell">
    <xdr:from>
      <xdr:col>3</xdr:col>
      <xdr:colOff>42022</xdr:colOff>
      <xdr:row>69</xdr:row>
      <xdr:rowOff>14008</xdr:rowOff>
    </xdr:from>
    <xdr:to>
      <xdr:col>3</xdr:col>
      <xdr:colOff>4922931</xdr:colOff>
      <xdr:row>94</xdr:row>
      <xdr:rowOff>1</xdr:rowOff>
    </xdr:to>
    <xdr:pic>
      <xdr:nvPicPr>
        <xdr:cNvPr id="81" name="Picture 80">
          <a:extLst>
            <a:ext uri="{FF2B5EF4-FFF2-40B4-BE49-F238E27FC236}">
              <a16:creationId xmlns:a16="http://schemas.microsoft.com/office/drawing/2014/main" id="{BC1DEE7A-9168-4F23-8143-0F8A07F83759}"/>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0183346" y="14679707"/>
          <a:ext cx="4877734" cy="4532032"/>
        </a:xfrm>
        <a:prstGeom prst="rect">
          <a:avLst/>
        </a:prstGeom>
        <a:ln w="12700">
          <a:solidFill>
            <a:schemeClr val="tx1"/>
          </a:solidFill>
        </a:ln>
      </xdr:spPr>
    </xdr:pic>
    <xdr:clientData/>
  </xdr:twoCellAnchor>
  <xdr:twoCellAnchor editAs="oneCell">
    <xdr:from>
      <xdr:col>4</xdr:col>
      <xdr:colOff>14009</xdr:colOff>
      <xdr:row>69</xdr:row>
      <xdr:rowOff>14008</xdr:rowOff>
    </xdr:from>
    <xdr:to>
      <xdr:col>5</xdr:col>
      <xdr:colOff>28015</xdr:colOff>
      <xdr:row>94</xdr:row>
      <xdr:rowOff>21666</xdr:rowOff>
    </xdr:to>
    <xdr:pic>
      <xdr:nvPicPr>
        <xdr:cNvPr id="85" name="Picture 84">
          <a:extLst>
            <a:ext uri="{FF2B5EF4-FFF2-40B4-BE49-F238E27FC236}">
              <a16:creationId xmlns:a16="http://schemas.microsoft.com/office/drawing/2014/main" id="{27352309-AA98-48F5-8163-5AA529D402E1}"/>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5085921" y="14679707"/>
          <a:ext cx="4941419" cy="4560047"/>
        </a:xfrm>
        <a:prstGeom prst="rect">
          <a:avLst/>
        </a:prstGeom>
        <a:ln w="12700">
          <a:solidFill>
            <a:schemeClr val="tx1"/>
          </a:solid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304800</xdr:colOff>
      <xdr:row>3</xdr:row>
      <xdr:rowOff>123825</xdr:rowOff>
    </xdr:to>
    <xdr:sp macro="" textlink="">
      <xdr:nvSpPr>
        <xdr:cNvPr id="2" name="AutoShape 2" descr="data:image/png;base64,iVBORw0KGgoAAAANSUhEUgAAAY4AAAEHCAYAAAC5u6FsAAAABHNCSVQICAgIfAhkiAAAAAlwSFlzAAALEgAACxIB0t1+/AAAADh0RVh0U29mdHdhcmUAbWF0cGxvdGxpYiB2ZXJzaW9uMy4xLjEsIGh0dHA6Ly9tYXRwbG90bGliLm9yZy8QZhcZAAAZpklEQVR4nO3dfZRlVX3m8e8D3Ug3vmFTuLAbhGSYCIuQFksgooDEJKCZ8KKJukTxZYkkGFFHR9Fx6SJhGTQTlTgD04bXpZJkQBOiyIstIKPCWA00NqI2EwI29GghiC+g0PKbP84pvX27qrpOWbequuv7Weuue+4+e9+z96Gop88+p85JVSFJ0lTtMNcdkCRtWwwOSVInBockqRODQ5LUicEhSepk0Vx3YDbstttutffee891NyRpm7JmzZr7q2qov3xBBMfee+/NyMjIXHdDkrYpSe4er9ypKklSJwaHJKkTg0OS1InBIUnqxOCQJHVicEiSOhlocCQ5Lcm6JLcnees465Pk7CR3JrktyUE9665M8sMkn+trc2GSu5Lc2r5WDnIMkqTNDezvOJIcALwROBh4FLgyyeeran1PtWOAfdvXIcA57TvAh4GlwJvG+fp3VtWlg+q7JGligzzi2A+4saoerqpNwPXA8X11jgUursaNwFOT7AFQVauBHw+wf5KkaRhkcKwDDk+yLMlS4MXAnn11lgPf7fm8oS3bmjPbqa2PJHnCeBWSnJxkJMnI6OjodPovSRrHwIKjqu4AzgKuAa4E1gKb+qplvKZb+erTgWcBzwWeBrxrgu2vqqrhqhoeGtriViuSpGka6Mnxqjqvqg6qqsOBB4D1fVU2sPlRyArgvq1858Z2auvnwAU051AkSbNk0FdV7d6+7wWcAFzSV+Vy4DXt1VWHAg9V1catfOce7XuA42imxCRJs2TQd8e9LMky4DHg1Kp6MMkpAFV1LnAFzbmPO4GHgdeNNUxyA82U1BOTbADeUFVXAZ9KMkQzzXUrcMqAxyBJ6jHQ4KiqF4xTdm7PcgGnTrVtW37UjHVQktSZfzkuSerE4JAkdWJwSJI6MTgkSZ0YHJKkTgwOSVInBockqRODQ5LUicEhSerE4JAkdWJwSJI6MTgkSZ0YHJKkTgwOSVInBockqRODQ5LUicEhSerE4JAkdWJwSJI6MTgkSZ0YHJKkTgwOSVInBockqRODQ5LUyUCDI8lpSdYluT3JW8dZnyRnJ7kzyW1JDupZd2WSHyb5XF+bfZLclGR9kn9MstMgxyBJ2tzAgiPJAcAbgYOB3wH+KMm+fdWOAfZtXycD5/Ss+zDw6nG++izgI1W1L/Ag8IYZ7rokaRKDPOLYD7ixqh6uqk3A9cDxfXWOBS6uxo3AU5PsAVBVq4Ef91ZOEuAo4NK26CLguAGOQZLUZ5DBsQ44PMmyJEuBFwN79tVZDny35/OGtmwiy4AftkE0af0kJycZSTIyOjo6rQFIkrY0sOCoqjtoppWuAa4E1gKb+qplvKaTfO2U61fVqqoarqrhoaGhKfRYkjQVAz05XlXnVdVBVXU48ACwvq/KBjY/ClkB3DfJV95PM521aIr1JUkzbNBXVe3evu8FnABc0lflcuA17dVVhwIPVdXGib6vqgq4FnhZW3QS8C8z3nFJ0oQWbb3Kr+WyJMuAx4BTq+rBJKcAVNW5wBU05z7uBB4GXjfWMMkNwLOAJybZALyhqq4C3gX8Q5K/Am4BzhvwGCRJPdL8I377Njw8XCMjI3PdDUnapiRZU1XD/eX+5bgkqRODQ5LUicEhSerE4JAkdWJwSJI6MTgkSZ0YHJKkTgwOSVInBockqRODQ5LUicEhSerE4JAkdWJwSJI6MTgkSZ0YHJKkTgwOSVInBockqRODQ5LUicEhSerE4JAkdWJwSJI6MTgkSZ0YHJKkTgYaHElOS7Iuye1J3jrO+iQ5O8mdSW5LclDPupOSrG9fJ/WUX5fk20lubV+7D3IMkqTNLRrUFyc5AHgjcDDwKHBlks9X1fqeascA+7avQ4BzgEOSPA14PzAMFLAmyeVV9WDb7lVVNTKovkuSJjbII479gBur6uGq2gRcDxzfV+dY4OJq3Ag8NckewB8C11TVA21YXAMcPcC+SpKmaJDBsQ44PMmyJEuBFwN79tVZDny35/OGtmyi8jEXtNNU70uSme+6JGkiAwuOqroDOIvmaOFKYC2wqa/aeL/0a5JyaKapfht4Qft69XjbT3JykpEkI6Ojo9MYgSRpPAM9OV5V51XVQVV1OPAAsL6vygY2PwpZAdw3STlVdW/7/mPg0zTnUMbb9qqqGq6q4aGhoZkYjiSJwV9VtXv7vhdwAnBJX5XLgde0V1cdCjxUVRuBq4A/SLJrkl2BPwCuSrIoyW7tdy4G/ohmSkySNEsGdlVV67Iky4DHgFOr6sEkpwBU1bnAFTTnPu4EHgZe1657IMlfAl9vv+eMtmwXmgBZDOwIfBH4xIDHIEnqkaraeq1t3PDwcI2MePWuJHWRZE1VDfeX+5fjkqRODA5JUicGhySpE4NDktSJwSFJ6sTgkCR1YnBIkjoxOCRJnRgckqRODA5JUicGhySpE4NDktSJwSFJ6sTgkCR1YnBIkjqZUnAkOax9iBJJTkzyt0meOdiuSZLmo6kecZwDPJzkd4D/AtwNXDywXkmS5q2pBsemah4VeCzwsar6GPCkwXVLkjRfTfWZ4z9OcjrwauAFSXYEFg+uW5Kk+WqqRxwvB34OvL6q/h+wHPjwwHolSZq3phQcbVhcBjyhLbof+OygOiVJmr+melXVG4FLgf/ZFi0H/nlQnZIkzV9Tnao6FTgM+BFAVa0Hdh9UpyRJ89dUg+PnVfXo2Icki4AaTJckSfPZVK+quj7Je4AlSX4f+HPgX7fWKMlpwBuBAJ+oqo/2rQ/wMeDFwMPAa6vq5nbdScB/bav+VVVd1JY/B7gQWAJcAZzWXio8o372s0384JFH2fR4sWiHsGzJTuy88+S7azptZnNbjml228z3/jmm6beZ7/2b7pimaqrf9G7gDcA3gDfR/ML++8kaJDmAJjQOBh4Frkzy+Xaaa8wxwL7t6xCaPzQ8JMnTgPcDwzRHNmuSXF5VD7Z1TgZubPtxNPCFKY5jSn72s02s/8FP+bNPrmHDg4+wYtclnHPic9h32S4T7vzptJnNbTkm94Njcj/MVHhMdapqCXB+Vf1JVb0MOL8tm8x+wI1V9XBVbQKuB47vq3MscHE1bgSemmQP4A+Ba6rqgTYsrgGObtc9uaq+1h5lXAwcN8UxTNkPHnn0lzsdYMODj/Bnn1zDDx55dEbbzOa2HNPstpnv/XNM028z3/s33TF1MdXgWM3mQbEE+OJW2qwDDk+yLMlSmumoPfvqLAe+2/N5Q1s2WfmGccq3kOTkJCNJRkZHR7fS1c1terx+udN/uaEHH2HT4xPPiE2nzWxuyzHNbpv53j/HNP02871/0x1TF1MNjp2r6idjH9rlpZM1qKo7gLNojhauBNYCm/qqZbym0ygfb/urqmq4qoaHhoYm6+oWFu0QVuy6+QHVil2XsGiH8TY//TazuS3HNLtt5nv/HNP028z3/k13TF1MNTh+muSgsQ/tCepHJqkPQFWdV1UHVdXhwAPA+r4qG9j8KGQFcN9WyleMUz6jli3ZiXNOfM4vd/7YHOGyJTvNaJvZ3JZjmt02871/jmn6beZ7/6Y7pi4ylQuSkjwX+Ad+9Ut6D+DlVbVmK+12r6rvJ9kLuBr43facxdj6lwBvppnGOgQ4u6oObk+OrwHGwupm4DlV9UCSrwN/AdxEc3L876rqisn6MTw8XCMjI1sdZy+vznBMv26b+d4/xzT9NvO9fzN1VVWSNVU1vEX5VK9kTbIY+C2a6aJvVdVjU2hzA7AMeAx4e1WtTnIKQFWd216O+3GaK6MeBl5XVSNt29cD72m/6syquqAtH+ZXl+N+AfiLrV2OO53gkKSFblrBkeSoqvpSkhPGW19Vn5nBPg6MwSFJ3U0UHFs7djkC+BLwn8ZZV8A2ERySpJkzaXBU1fuT7AB8oar+aZb6JEmax7Z6VVVVPU5zAluSpClfjntNknck2TPJ08ZeA+2ZJGlemur1Wa+nOafx533lvzGz3ZEkzXdTDY79aULj+TQBcgNw7qA6JUmav6YaHBfRPMTp7PbzK9uyPx1EpyRJ89dUg+O3qup3ej5fm2TtIDokSZrfpnpy/JYkh459SHII8JXBdEmSNJ9N9YjjEOA1Se5pP+8F3JHkG0BV1YED6Z0kad6ZanAcPdBeSJK2GVMKjqq6e9AdkSRtG6Z6jkOSJMDgkCR1ZHBIkjoxOCRJnRgckqRODA5JUicGhySpE4NDktSJwSFJ6sTgkCR1YnBIkjoZaHAkeVuS25OsS3JJkp371j8zyeoktyW5LsmKnnVnte3WJXl5T/mFSe5Kcmv7WjnIMUiSNjew4EiyHHgLMFxVBwA7Aq/oq/Y3wMXtbdnPAD7Ytn0JcBCwkuaW7u9M8uSedu+sqpXt69ZBjUGStKVBT1UtApYkWQQsBe7rW78/sLpdvhY4tqf8+qraVFU/Bdbird0laV4YWHBU1b00RxT3ABuBh6rq6r5qa4GXtsvHA09KsqwtPybJ0iS7AS8E9uxpd2Y7vfWRJE8Y1BgkSVsa5FTVrjRHEPsAzwB2SXJiX7V3AEckuQU4ArgX2NQGzBXAV4FLgK8Bm9o2pwPPAp4LPA141wTbPznJSJKR0dHRGR2bJC1kg5yqehFwV1WNVtVjwGeA5/VWqKr7quqEqno28N627KH2/cz2HMbvAwHWt+Ubq/Fz4ALg4PE2XlWrqmq4qoaHhoYGNUZJWnAGGRz3AIe2000Bfg+4o7dCkt2SjPXhdOD8tnzHdsqKJAcCBwJXt5/3aN8DHAesG+AYJEl9pvrM8c6q6qYklwI300wz3QKsSnIGMFJVlwNHAh9MUsCXgVPb5ouBG5ps4EfAiVU1NlX1qSRDNEchtwKnDGoMkqQtparmug8DNzw8XCMjI3PdDUnapiRZU1XD/eX+5bgkqRODQ5LUicEhSerE4JAkdWJwSJI6MTgkSZ0YHJKkTgwOSVInBockqRODQ5LUicEhSerE4JAkdWJwSJI6MTgkSZ0YHJKkTgwOSVInBockqRODQ5LUicEhSerE4JAkdWJwSJI6MTgkSZ0YHJKkTgwOSVInAw2OJG9LcnuSdUkuSbJz3/pnJlmd5LYk1yVZ0bPurLbduiQv7ynfJ8lNSdYn+cckOw1yDJKkzQ0sOJIsB94CDFfVAcCOwCv6qv0NcHFVHQicAXywbfsS4CBgJXAI8M4kT27bnAV8pKr2BR4E3jCoMUiStjToqapFwJIki4ClwH196/cHVrfL1wLH9pRfX1WbquqnwFrg6CQBjgIubetdBBw3wP5LkvoMLDiq6l6aI4p7gI3AQ1V1dV+1tcBL2+XjgSclWdaWH5NkaZLdgBcCewLLgB9W1aa2zQZg+XjbT3JykpEkI6OjozM5NEla0AY5VbUrzRHEPsAzgF2SnNhX7R3AEUluAY4A7gU2tQFzBfBV4BLga8AmIONsqsbbflWtqqrhqhoeGhqaiSFJkhjsVNWLgLuqarSqHgM+Azyvt0JV3VdVJ1TVs4H3tmUPte9nVtXKqvp9msBYD9wPPLWd+gJYwZbTX5KkARpkcNwDHNpONwX4PeCO3gpJdksy1ofTgfPb8h3bKSuSHAgcCFxdVUVzLuRlbZuTgH8Z4BgkSX0GeY7jJpqT2DcD32i3tSrJGUn+uK12JPDtJN8Bng6c2ZYvBm5I8k1gFXBiz3mNdwFvT3InzTmP8wY1BknSltL8I377Njw8XCMjI3PdDUnapiRZU1XD/eX+5bgkqRODQ5LUicEhSerE4JAkdWJwSJI6MTgkSZ0YHJKkTgwOSVInBockqRODQ5LUicEhSerE4JAkdWJwSJI6MTgkSZ0YHJKkTgwOSVInBockqRODQ5LUicEhSerE4JAkdWJwSJI6MTgkSZ0YHJKkTgwOSVInAw2OJG9LcnuSdUkuSbJz3/pnJlmd5LYk1yVZ0bPuQ23bO5KcnSRt+XVJvp3k1va1+yDHIEna3MCCI8ly4C3AcFUdAOwIvKKv2t8AF1fVgcAZwAfbts8DDgMOBA4Angsc0dPuVVW1sn19f1BjkCRtadBTVYuAJUkWAUuB+/rW7w+sbpevBY5tlwvYGdgJeAKwGPjegPsqSZqCgQVHVd1Lc0RxD7AReKiqru6rthZ4abt8PPCkJMuq6ms0QbKxfV1VVXf0tLugnaZ639gUVr8kJycZSTIyOjo6gyOTpIVtkFNVu9IcQewDPAPYJcmJfdXeARyR5Baaqah7gU1J/gOwH7ACWA4cleTwts2rquq3gRe0r1ePt/2qWlVVw1U1PDQ0NMOjk6SFa5BTVS8C7qqq0ap6DPgM8LzeClV1X1WdUFXPBt7blj1Ec/RxY1X9pKp+AnwBOLRdf2/7/mPg08DBAxyDJKnPIIPjHuDQJEvb6aTfA3qnm0iyW5KxPpwOnN/T9ogki5IspjkauaP9vFvbdjHwR8C6AY5BktRnkOc4bgIuBW4GvtFua1WSM5L8cVvtSODbSb4DPB04sy2/FPi/bbu1wNqq+leaE+VXJbkNuJVmausTgxqDJGlLqaq57sPADQ8P18jIyFx3Q5K2KUnWVNVwf7l/OS5J6sTgkCR1YnBIkjoxOCRJnRgckqROFsRVVUlGgbun2Xw34P4Z7M62yv3QcD/8ivuisT3vh2dW1Ra33lgQwfHrSDIy3uVoC437oeF++BX3RWMh7genqiRJnRgckqRODI6tWzXXHZgn3A8N98OvuC8aC24/eI5DktSJRxySpE4MDklSJwbHJJIcneTbSe5M8u657s9cSfLvSb7RPq53wdxmOMn5Sb6fZF1P2dOSXJNkffu+61z2cTZMsB8+kOTe9mfi1iQvnss+zoYkeya5NskdSW5PclpbvuB+JgyOCSTZEfjvwDHA/sArk+w/t72aUy+sqpUL7Hr1C4Gj+8reDayuqn2B1e3n7d2FbLkfAD7S/kysrKorZrlPc2ET8J+raj+aJ5Ke2v5OWHA/EwbHxA4G7qyqf6uqR4F/oHmGuhaIqvoy8EBf8bHARe3yRcBxs9qpOTDBflhwqmpjVd3cLv+Y5ommy1mAPxMGx8SWA9/t+byhLVuICrg6yZokJ891Z+bY06tqIzS/SIDd57g/c+nNSW5rp7K2++mZXkn2Bp4N3MQC/JkwOCaWccoW6rXLh1XVQTTTdqcmOXyuO6Q5dw7wm8BKYCPw3+a2O7MnyROBy4C3VtWP5ro/c8HgmNgGYM+ezyuA++aoL3Oqqu5r378PfJZmGm+h+l6SPQDa9+/PcX/mRFV9r6p+UVWPA59ggfxMJFlMExqfqqrPtMUL7mfC4JjY14F9k+yTZCfgFcDlc9ynWZdklyRPGlsG/gBYN3mr7drlwEnt8knAv8xhX+bM2C/K1vEsgJ+JJAHOA+6oqr/tWbXgfib8y/FJtJcYfhTYETi/qs6c4y7NuiS/QXOUAbAI+PRC2Q9JLgGOpLlt9veA9wP/DPwTsBdwD/AnVbVdnzieYD8cSTNNVcC/A28am+ffXiV5PnAD8A3g8bb4PTTnORbWz4TBIUnqwqkqSVInBockqRODQ5LUicEhSerE4JAkdWJwSJI6MTi0YCV5bZKPz5fvmYF+PCHJF9vbnL98CvWPTPK52eibti+L5roD0mxo/+o37S0ypvsdi6pq0wx2a6a392xgcVWtHFSfJPCIQ9uRJG9Psq59vTXJ3u1Dd/4HcDOwZ5LXJflOkuuBw3raDiW5LMnX29dhbfkHkqxKcjVw8SSbf0aSK9uH+Xyo53tf2T4Ea12Ss3rKf9Kz/LIkF7bLFyb52yTXAmcxjvbBQf/c3pn2xiQHJtkd+CSwsj3i+M0J2h6d5FtJ/jdwQk/5wUm+muSW9v232vIbkqzsqfeVJAdOsh+0EFSVL1/b/At4Ds2tIHYBngjcTvMv8MeBQ9s6e9DcEmII2An4CvDxdt2ngee3y3vR3I8I4APAGmDJJNt+LfBvwFOAnYG7aW6Q+Yye7S0CvgQc17b5SU/7lwEXtssXAp8Ddpxke38HvL9dPgq4tV0+EvjcJO12pnlUwL40d3/+p7H6wJOBRe3yi4DL2uWTgI+2y/8RGJnr/9a+5v7lVJW2F88HPltVPwVI8hngBcDdVXVjW+cQ4LqqGm3r/CPNL0Noflnu38xoAfDksZs7ApdX1SNb2f7qqnqo/d5vAs8ElvVt71PA4TT3u5rM/6qqX2xlrC8FqKovJVmW5Clb+U6AZwF3VdX6tj+fBMaer/IU4KIk+9Lcf2rxWF+A9yV5J/B6mmDTAmdwaHsx3vNTAH7a93mim7PtAPxuf0C0QdL/HeP5ec/yL2j+35qoT/392Llv3da29+s8K2aien8JXFtVx7cPKboOoKoeTnINzVPu/hRYSI8O1gQ8x6HtxZeB45IsbW//fjzNnUx73QQc2f4LfTHwJz3rrgbePPahd17/13ATcESS3dpn2L8SuL5d970k+yXZoe1rF18GXtX280jg/praA4W+BezTc/7jlT3rngLc2y6/tq/d3wNnA1+v7fyur5oag0PbhWqeBX0h8H9ofmH/PfBgX52NNOcsvgZ8keaE+Zi3AMPtCedvAqfMQJ82AqcD1wJrgZurauxZDe+mOZfxJZon6HXxgbG+An/Nr54FsbX+/Ixmaurz7cnxu3tWfwj4YJKv0DxGoLfdGuBHwAUd+6ntlLdVlzSpJM+gmbp6Vv0alzNr++ERh6QJJXkNzRHcew0NjfGIQ5qiJH/Iln9bcVdVdT1HMdXtvQ44ra/4K1V16hTafhbYp6/4XVV11Uz1TwuXwSFJ6sSpKklSJwaHJKkTg0OS1InBIUnq5P8D1tDkuZsKna8AAAAASUVORK5CYII=">
          <a:extLst>
            <a:ext uri="{FF2B5EF4-FFF2-40B4-BE49-F238E27FC236}">
              <a16:creationId xmlns:a16="http://schemas.microsoft.com/office/drawing/2014/main" id="{00000000-0008-0000-0600-000002000000}"/>
            </a:ext>
          </a:extLst>
        </xdr:cNvPr>
        <xdr:cNvSpPr>
          <a:spLocks noChangeAspect="1" noChangeArrowheads="1"/>
        </xdr:cNvSpPr>
      </xdr:nvSpPr>
      <xdr:spPr bwMode="auto">
        <a:xfrm>
          <a:off x="304800" y="381000"/>
          <a:ext cx="304800" cy="3111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280811</xdr:colOff>
      <xdr:row>4</xdr:row>
      <xdr:rowOff>182747</xdr:rowOff>
    </xdr:from>
    <xdr:to>
      <xdr:col>12</xdr:col>
      <xdr:colOff>528461</xdr:colOff>
      <xdr:row>9</xdr:row>
      <xdr:rowOff>84666</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280811" y="916525"/>
          <a:ext cx="7282039" cy="819141"/>
        </a:xfrm>
        <a:prstGeom prst="rect">
          <a:avLst/>
        </a:prstGeom>
        <a:solidFill>
          <a:schemeClr val="lt1"/>
        </a:solidFill>
        <a:ln w="19050"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 this tab you should include</a:t>
          </a:r>
          <a:r>
            <a:rPr lang="en-US" sz="1100" baseline="0"/>
            <a:t> any recommendations you would made to Instcart in terms of their marketing strategy based on the questions posed in the brief. Every key question has been covered in the Tasks of the Exercises - here you need to add an item - a visualisation or table/crosstable that is showing the answer in the data, acompanied by a comment from you. Please, list the questions below and add the answer underneath.</a:t>
          </a:r>
          <a:endParaRPr lang="en-US" sz="1100"/>
        </a:p>
      </xdr:txBody>
    </xdr:sp>
    <xdr:clientData/>
  </xdr:twoCellAnchor>
  <xdr:twoCellAnchor editAs="oneCell">
    <xdr:from>
      <xdr:col>0</xdr:col>
      <xdr:colOff>594792</xdr:colOff>
      <xdr:row>0</xdr:row>
      <xdr:rowOff>44450</xdr:rowOff>
    </xdr:from>
    <xdr:to>
      <xdr:col>1</xdr:col>
      <xdr:colOff>1084095</xdr:colOff>
      <xdr:row>1</xdr:row>
      <xdr:rowOff>69663</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2692" y="44450"/>
          <a:ext cx="1140178" cy="218888"/>
        </a:xfrm>
        <a:prstGeom prst="rect">
          <a:avLst/>
        </a:prstGeom>
      </xdr:spPr>
    </xdr:pic>
    <xdr:clientData/>
  </xdr:twoCellAnchor>
  <xdr:twoCellAnchor>
    <xdr:from>
      <xdr:col>1</xdr:col>
      <xdr:colOff>348</xdr:colOff>
      <xdr:row>3</xdr:row>
      <xdr:rowOff>171097</xdr:rowOff>
    </xdr:from>
    <xdr:to>
      <xdr:col>12</xdr:col>
      <xdr:colOff>451554</xdr:colOff>
      <xdr:row>3</xdr:row>
      <xdr:rowOff>171097</xdr:rowOff>
    </xdr:to>
    <xdr:cxnSp macro="">
      <xdr:nvCxnSpPr>
        <xdr:cNvPr id="5" name="Straight Connector 4">
          <a:extLst>
            <a:ext uri="{FF2B5EF4-FFF2-40B4-BE49-F238E27FC236}">
              <a16:creationId xmlns:a16="http://schemas.microsoft.com/office/drawing/2014/main" id="{00000000-0008-0000-0600-000005000000}"/>
            </a:ext>
          </a:extLst>
        </xdr:cNvPr>
        <xdr:cNvCxnSpPr/>
      </xdr:nvCxnSpPr>
      <xdr:spPr>
        <a:xfrm>
          <a:off x="282570" y="721430"/>
          <a:ext cx="7203373" cy="0"/>
        </a:xfrm>
        <a:prstGeom prst="line">
          <a:avLst/>
        </a:prstGeom>
        <a:ln w="2857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211665</xdr:colOff>
      <xdr:row>2</xdr:row>
      <xdr:rowOff>0</xdr:rowOff>
    </xdr:from>
    <xdr:to>
      <xdr:col>7</xdr:col>
      <xdr:colOff>537456</xdr:colOff>
      <xdr:row>3</xdr:row>
      <xdr:rowOff>133175</xdr:rowOff>
    </xdr:to>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211665" y="366889"/>
          <a:ext cx="4291013" cy="3166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2">
                  <a:lumMod val="50000"/>
                </a:schemeClr>
              </a:solidFill>
            </a:rPr>
            <a:t>Recommendations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3:B19"/>
  <sheetViews>
    <sheetView showGridLines="0" tabSelected="1" zoomScale="80" zoomScaleNormal="80" workbookViewId="0">
      <selection activeCell="F29" sqref="F29"/>
    </sheetView>
  </sheetViews>
  <sheetFormatPr defaultColWidth="8.81640625" defaultRowHeight="14.5"/>
  <sheetData>
    <row r="13" spans="2:2" ht="15.5">
      <c r="B13" s="17" t="s">
        <v>0</v>
      </c>
    </row>
    <row r="14" spans="2:2">
      <c r="B14" s="16" t="s">
        <v>15</v>
      </c>
    </row>
    <row r="15" spans="2:2">
      <c r="B15" s="16" t="s">
        <v>16</v>
      </c>
    </row>
    <row r="16" spans="2:2">
      <c r="B16" s="16" t="s">
        <v>17</v>
      </c>
    </row>
    <row r="17" spans="2:2">
      <c r="B17" s="16" t="s">
        <v>18</v>
      </c>
    </row>
    <row r="18" spans="2:2">
      <c r="B18" s="16" t="s">
        <v>20</v>
      </c>
    </row>
    <row r="19" spans="2:2">
      <c r="B19" s="16" t="s">
        <v>24</v>
      </c>
    </row>
  </sheetData>
  <hyperlinks>
    <hyperlink ref="B14" location="'2. Population Flow'!A1" display="Population Flow" xr:uid="{00000000-0004-0000-0000-000000000000}"/>
    <hyperlink ref="B15" location="'3. Consistency checks'!A1" display="Consistency checks" xr:uid="{00000000-0004-0000-0000-000001000000}"/>
    <hyperlink ref="B16" location="'4. Wrangling steps'!A1" display="Wrangling steps" xr:uid="{00000000-0004-0000-0000-000002000000}"/>
    <hyperlink ref="B17" location="'5. Column derivations'!A1" display="Column derivations" xr:uid="{00000000-0004-0000-0000-000003000000}"/>
    <hyperlink ref="B18" location="'6. Visualizations'!A1" display="Visualizations" xr:uid="{00000000-0004-0000-0000-000004000000}"/>
    <hyperlink ref="B19" location="'7. Recommendations'!A1" display="Recommendations" xr:uid="{00000000-0004-0000-0000-000005000000}"/>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AD51B-1916-48D8-A6E5-4D9F4CC09785}">
  <dimension ref="A1:A8"/>
  <sheetViews>
    <sheetView workbookViewId="0">
      <selection activeCell="A13" sqref="A13"/>
    </sheetView>
  </sheetViews>
  <sheetFormatPr defaultRowHeight="14.5"/>
  <cols>
    <col min="1" max="1" width="160.1796875" customWidth="1"/>
  </cols>
  <sheetData>
    <row r="1" spans="1:1" ht="18.5">
      <c r="A1" s="42" t="s">
        <v>69</v>
      </c>
    </row>
    <row r="5" spans="1:1" ht="18.5">
      <c r="A5" s="58" t="s">
        <v>96</v>
      </c>
    </row>
    <row r="6" spans="1:1">
      <c r="A6" s="59" t="str">
        <f>HYPERLINK("https://www.instacart.com/datasets/grocery-shopping-2017","Link")</f>
        <v>Link</v>
      </c>
    </row>
    <row r="7" spans="1:1">
      <c r="A7" s="43" t="str">
        <f>HYPERLINK("https://www.kaggle.com/datasets/psparks/instacart-market-basket-analysis","Kaggle")</f>
        <v>Kaggle</v>
      </c>
    </row>
    <row r="8" spans="1:1">
      <c r="A8" s="41" t="s">
        <v>95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Y1:Y6"/>
  <sheetViews>
    <sheetView showGridLines="0" zoomScale="60" zoomScaleNormal="60" workbookViewId="0"/>
  </sheetViews>
  <sheetFormatPr defaultColWidth="8.6328125" defaultRowHeight="13"/>
  <cols>
    <col min="1" max="1" width="5.453125" style="1" customWidth="1"/>
    <col min="2" max="24" width="8.6328125" style="1"/>
    <col min="25" max="25" width="12.81640625" style="1" bestFit="1" customWidth="1"/>
    <col min="26" max="16384" width="8.6328125" style="1"/>
  </cols>
  <sheetData>
    <row r="1" spans="25:25" ht="16.5">
      <c r="Y1" s="18" t="s">
        <v>19</v>
      </c>
    </row>
    <row r="2" spans="25:25" ht="16.5">
      <c r="Y2" s="18"/>
    </row>
    <row r="6" spans="25:25" ht="8.5" customHeight="1"/>
  </sheetData>
  <hyperlinks>
    <hyperlink ref="Y1" location="'Title Page'!A1" display="Title page" xr:uid="{00000000-0004-0000-0100-000000000000}"/>
  </hyperlink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I21"/>
  <sheetViews>
    <sheetView showGridLines="0" topLeftCell="A3" zoomScale="80" zoomScaleNormal="80" workbookViewId="0">
      <selection activeCell="L14" sqref="L14"/>
    </sheetView>
  </sheetViews>
  <sheetFormatPr defaultColWidth="8.81640625" defaultRowHeight="14.5"/>
  <cols>
    <col min="1" max="1" width="4.6328125" customWidth="1"/>
    <col min="2" max="3" width="22.36328125" customWidth="1"/>
    <col min="4" max="4" width="21.81640625" bestFit="1" customWidth="1"/>
    <col min="5" max="5" width="35.36328125" customWidth="1"/>
  </cols>
  <sheetData>
    <row r="1" spans="2:9">
      <c r="I1" s="19" t="s">
        <v>19</v>
      </c>
    </row>
    <row r="5" spans="2:9" ht="15" thickBot="1"/>
    <row r="6" spans="2:9" ht="24.5" customHeight="1" thickTop="1" thickBot="1">
      <c r="B6" s="6" t="s">
        <v>6</v>
      </c>
      <c r="C6" s="7" t="s">
        <v>7</v>
      </c>
      <c r="D6" s="7" t="s">
        <v>8</v>
      </c>
      <c r="E6" s="8" t="s">
        <v>9</v>
      </c>
    </row>
    <row r="7" spans="2:9" ht="29.5" thickTop="1">
      <c r="B7" s="9" t="s">
        <v>10</v>
      </c>
      <c r="C7" s="24" t="s">
        <v>25</v>
      </c>
      <c r="D7" s="25" t="s">
        <v>26</v>
      </c>
      <c r="E7" s="28" t="s">
        <v>30</v>
      </c>
    </row>
    <row r="8" spans="2:9" ht="72.5">
      <c r="B8" s="10" t="s">
        <v>11</v>
      </c>
      <c r="C8" s="11" t="s">
        <v>28</v>
      </c>
      <c r="D8" s="26" t="s">
        <v>27</v>
      </c>
      <c r="E8" s="27" t="s">
        <v>29</v>
      </c>
    </row>
    <row r="9" spans="2:9">
      <c r="B9" s="10" t="s">
        <v>12</v>
      </c>
      <c r="C9" s="11"/>
      <c r="D9" s="11"/>
      <c r="E9" s="12"/>
    </row>
    <row r="10" spans="2:9">
      <c r="B10" s="10" t="s">
        <v>13</v>
      </c>
      <c r="C10" s="11" t="s">
        <v>70</v>
      </c>
      <c r="D10" s="11" t="s">
        <v>71</v>
      </c>
      <c r="E10" s="12" t="s">
        <v>72</v>
      </c>
    </row>
    <row r="11" spans="2:9">
      <c r="B11" s="10"/>
      <c r="C11" s="11"/>
      <c r="D11" s="11"/>
      <c r="E11" s="12"/>
    </row>
    <row r="12" spans="2:9">
      <c r="B12" s="10"/>
      <c r="C12" s="11"/>
      <c r="D12" s="11"/>
      <c r="E12" s="12"/>
    </row>
    <row r="13" spans="2:9">
      <c r="B13" s="10"/>
      <c r="C13" s="11"/>
      <c r="D13" s="11"/>
      <c r="E13" s="12"/>
    </row>
    <row r="14" spans="2:9">
      <c r="B14" s="10"/>
      <c r="C14" s="11"/>
      <c r="D14" s="11"/>
      <c r="E14" s="12"/>
    </row>
    <row r="15" spans="2:9">
      <c r="B15" s="10"/>
      <c r="C15" s="11"/>
      <c r="D15" s="11"/>
      <c r="E15" s="12"/>
    </row>
    <row r="16" spans="2:9">
      <c r="B16" s="10"/>
      <c r="C16" s="11"/>
      <c r="D16" s="11"/>
      <c r="E16" s="12"/>
    </row>
    <row r="17" spans="2:5">
      <c r="B17" s="10"/>
      <c r="C17" s="11"/>
      <c r="D17" s="11"/>
      <c r="E17" s="12"/>
    </row>
    <row r="18" spans="2:5">
      <c r="B18" s="10"/>
      <c r="C18" s="11"/>
      <c r="D18" s="11"/>
      <c r="E18" s="12"/>
    </row>
    <row r="19" spans="2:5">
      <c r="B19" s="10"/>
      <c r="C19" s="11"/>
      <c r="D19" s="11"/>
      <c r="E19" s="12"/>
    </row>
    <row r="20" spans="2:5" ht="15" thickBot="1">
      <c r="B20" s="13"/>
      <c r="C20" s="14"/>
      <c r="D20" s="14"/>
      <c r="E20" s="15"/>
    </row>
    <row r="21" spans="2:5" ht="15" thickTop="1"/>
  </sheetData>
  <hyperlinks>
    <hyperlink ref="I1" location="'Title Page'!A1" display="Title page" xr:uid="{00000000-0004-0000-02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H25"/>
  <sheetViews>
    <sheetView showGridLines="0" zoomScale="80" zoomScaleNormal="80" workbookViewId="0">
      <selection activeCell="D16" sqref="D16"/>
    </sheetView>
  </sheetViews>
  <sheetFormatPr defaultColWidth="8.81640625" defaultRowHeight="14.5"/>
  <cols>
    <col min="1" max="1" width="4.453125" customWidth="1"/>
    <col min="2" max="2" width="26.81640625" customWidth="1"/>
    <col min="3" max="3" width="29.7265625" customWidth="1"/>
    <col min="4" max="4" width="22.90625" customWidth="1"/>
    <col min="5" max="5" width="45" bestFit="1" customWidth="1"/>
  </cols>
  <sheetData>
    <row r="1" spans="2:8">
      <c r="H1" s="19" t="s">
        <v>19</v>
      </c>
    </row>
    <row r="5" spans="2:8" ht="15" thickBot="1"/>
    <row r="6" spans="2:8" ht="23" customHeight="1" thickTop="1" thickBot="1">
      <c r="B6" s="6" t="s">
        <v>1</v>
      </c>
      <c r="C6" s="7" t="s">
        <v>2</v>
      </c>
      <c r="D6" s="7" t="s">
        <v>3</v>
      </c>
      <c r="E6" s="8" t="s">
        <v>4</v>
      </c>
    </row>
    <row r="7" spans="2:8" ht="23" customHeight="1" thickTop="1" thickBot="1">
      <c r="B7" s="105" t="s">
        <v>77</v>
      </c>
      <c r="C7" s="106"/>
      <c r="D7" s="106"/>
      <c r="E7" s="107"/>
    </row>
    <row r="8" spans="2:8" ht="29.5" thickTop="1">
      <c r="B8" s="31" t="s">
        <v>31</v>
      </c>
      <c r="C8" s="30"/>
      <c r="D8" s="32"/>
      <c r="E8" s="33" t="s">
        <v>34</v>
      </c>
    </row>
    <row r="9" spans="2:8" ht="43.5">
      <c r="B9" s="29"/>
      <c r="C9" s="35" t="s">
        <v>33</v>
      </c>
      <c r="D9" s="20"/>
      <c r="E9" s="36" t="s">
        <v>35</v>
      </c>
    </row>
    <row r="10" spans="2:8" ht="58">
      <c r="B10" s="2"/>
      <c r="C10" s="22"/>
      <c r="D10" s="38" t="s">
        <v>32</v>
      </c>
      <c r="E10" s="39" t="s">
        <v>36</v>
      </c>
    </row>
    <row r="11" spans="2:8" ht="58">
      <c r="B11" s="2"/>
      <c r="C11" s="22"/>
      <c r="D11" s="37" t="s">
        <v>37</v>
      </c>
      <c r="E11" s="40" t="s">
        <v>38</v>
      </c>
    </row>
    <row r="12" spans="2:8" ht="43.5">
      <c r="B12" s="2"/>
      <c r="C12" s="34" t="s">
        <v>39</v>
      </c>
      <c r="D12" s="20"/>
      <c r="E12" s="36" t="s">
        <v>40</v>
      </c>
    </row>
    <row r="13" spans="2:8">
      <c r="B13" s="2"/>
      <c r="C13" s="22"/>
      <c r="D13" s="20"/>
      <c r="E13" s="3"/>
    </row>
    <row r="14" spans="2:8" ht="101.5">
      <c r="B14" s="2"/>
      <c r="C14" s="34" t="s">
        <v>41</v>
      </c>
      <c r="D14" s="20"/>
      <c r="E14" s="3"/>
    </row>
    <row r="15" spans="2:8" ht="18.5">
      <c r="B15" s="105" t="s">
        <v>78</v>
      </c>
      <c r="C15" s="106"/>
      <c r="D15" s="106"/>
      <c r="E15" s="107"/>
    </row>
    <row r="16" spans="2:8">
      <c r="B16" s="45" t="s">
        <v>71</v>
      </c>
      <c r="C16" s="37" t="s">
        <v>71</v>
      </c>
      <c r="D16" s="20" t="s">
        <v>71</v>
      </c>
      <c r="E16" s="46"/>
    </row>
    <row r="17" spans="2:5">
      <c r="B17" s="45"/>
      <c r="C17" s="37"/>
      <c r="D17" s="20"/>
      <c r="E17" s="46"/>
    </row>
    <row r="18" spans="2:5" ht="18.5">
      <c r="B18" s="105" t="s">
        <v>76</v>
      </c>
      <c r="C18" s="106"/>
      <c r="D18" s="106"/>
      <c r="E18" s="107"/>
    </row>
    <row r="19" spans="2:5" ht="72.5">
      <c r="B19" s="44" t="s">
        <v>75</v>
      </c>
      <c r="C19" s="34" t="s">
        <v>73</v>
      </c>
      <c r="D19" s="38" t="s">
        <v>74</v>
      </c>
      <c r="E19" s="3"/>
    </row>
    <row r="20" spans="2:5">
      <c r="B20" s="2"/>
      <c r="C20" s="22"/>
      <c r="D20" s="20"/>
      <c r="E20" s="3"/>
    </row>
    <row r="21" spans="2:5">
      <c r="B21" s="2"/>
      <c r="C21" s="22"/>
      <c r="D21" s="20"/>
      <c r="E21" s="3"/>
    </row>
    <row r="22" spans="2:5">
      <c r="B22" s="2"/>
      <c r="C22" s="22"/>
      <c r="D22" s="20"/>
      <c r="E22" s="3"/>
    </row>
    <row r="23" spans="2:5">
      <c r="B23" s="2"/>
      <c r="C23" s="22"/>
      <c r="D23" s="20"/>
      <c r="E23" s="3"/>
    </row>
    <row r="24" spans="2:5" ht="15" thickBot="1">
      <c r="B24" s="4"/>
      <c r="C24" s="23"/>
      <c r="D24" s="21"/>
      <c r="E24" s="5"/>
    </row>
    <row r="25" spans="2:5" ht="15" thickTop="1"/>
  </sheetData>
  <mergeCells count="3">
    <mergeCell ref="B18:E18"/>
    <mergeCell ref="B7:E7"/>
    <mergeCell ref="B15:E15"/>
  </mergeCells>
  <hyperlinks>
    <hyperlink ref="H1" location="'Title Page'!A1" display="Title page" xr:uid="{00000000-0004-0000-0300-000000000000}"/>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1:K28"/>
  <sheetViews>
    <sheetView showGridLines="0" topLeftCell="A13" zoomScale="80" zoomScaleNormal="80" workbookViewId="0">
      <selection activeCell="I12" sqref="I12"/>
    </sheetView>
  </sheetViews>
  <sheetFormatPr defaultColWidth="8.81640625" defaultRowHeight="14.5"/>
  <cols>
    <col min="1" max="1" width="4.36328125" customWidth="1"/>
    <col min="2" max="2" width="19.36328125" customWidth="1"/>
    <col min="3" max="3" width="21.54296875" bestFit="1" customWidth="1"/>
    <col min="4" max="4" width="28" customWidth="1"/>
    <col min="5" max="5" width="69.7265625" customWidth="1"/>
  </cols>
  <sheetData>
    <row r="1" spans="2:11">
      <c r="K1" s="19" t="s">
        <v>19</v>
      </c>
    </row>
    <row r="5" spans="2:11" ht="15" thickBot="1"/>
    <row r="6" spans="2:11" ht="21.5" customHeight="1" thickTop="1" thickBot="1">
      <c r="B6" s="6" t="s">
        <v>6</v>
      </c>
      <c r="C6" s="7" t="s">
        <v>5</v>
      </c>
      <c r="D6" s="7" t="s">
        <v>14</v>
      </c>
      <c r="E6" s="8" t="s">
        <v>23</v>
      </c>
    </row>
    <row r="7" spans="2:11" ht="44.5" thickTop="1" thickBot="1">
      <c r="B7" s="49" t="s">
        <v>43</v>
      </c>
      <c r="C7" s="51" t="s">
        <v>49</v>
      </c>
      <c r="D7" s="49" t="s">
        <v>44</v>
      </c>
      <c r="E7" s="52" t="s">
        <v>47</v>
      </c>
    </row>
    <row r="8" spans="2:11" ht="30" thickTop="1" thickBot="1">
      <c r="B8" s="51" t="s">
        <v>45</v>
      </c>
      <c r="C8" s="49" t="s">
        <v>42</v>
      </c>
      <c r="D8" s="49" t="s">
        <v>44</v>
      </c>
      <c r="E8" s="51" t="s">
        <v>46</v>
      </c>
    </row>
    <row r="9" spans="2:11" ht="15.5" thickTop="1" thickBot="1">
      <c r="B9" s="49" t="s">
        <v>48</v>
      </c>
      <c r="C9" s="49" t="s">
        <v>42</v>
      </c>
      <c r="D9" s="49" t="s">
        <v>50</v>
      </c>
      <c r="E9" s="52" t="s">
        <v>47</v>
      </c>
    </row>
    <row r="10" spans="2:11" ht="15.5" thickTop="1" thickBot="1">
      <c r="B10" s="49" t="s">
        <v>51</v>
      </c>
      <c r="C10" s="49" t="s">
        <v>42</v>
      </c>
      <c r="D10" s="49" t="s">
        <v>50</v>
      </c>
      <c r="E10" s="51" t="s">
        <v>46</v>
      </c>
    </row>
    <row r="11" spans="2:11" ht="15.5" thickTop="1" thickBot="1">
      <c r="B11" s="49"/>
      <c r="C11" s="49"/>
      <c r="D11" s="49"/>
      <c r="E11" s="49"/>
    </row>
    <row r="12" spans="2:11" ht="73.5" thickTop="1" thickBot="1">
      <c r="B12" s="53" t="s">
        <v>53</v>
      </c>
      <c r="C12" s="54" t="s">
        <v>52</v>
      </c>
      <c r="D12" s="55" t="s">
        <v>54</v>
      </c>
      <c r="E12" s="56" t="s">
        <v>55</v>
      </c>
    </row>
    <row r="13" spans="2:11" ht="73.5" thickTop="1" thickBot="1">
      <c r="B13" s="54" t="s">
        <v>57</v>
      </c>
      <c r="C13" s="54" t="s">
        <v>56</v>
      </c>
      <c r="D13" s="55" t="s">
        <v>54</v>
      </c>
      <c r="E13" s="57" t="s">
        <v>55</v>
      </c>
    </row>
    <row r="14" spans="2:11" ht="73.5" thickTop="1" thickBot="1">
      <c r="B14" s="54" t="s">
        <v>58</v>
      </c>
      <c r="C14" s="54" t="s">
        <v>56</v>
      </c>
      <c r="D14" s="54" t="s">
        <v>54</v>
      </c>
      <c r="E14" s="51" t="s">
        <v>55</v>
      </c>
    </row>
    <row r="15" spans="2:11" ht="30" thickTop="1" thickBot="1">
      <c r="B15" s="54" t="s">
        <v>58</v>
      </c>
      <c r="C15" s="54" t="s">
        <v>60</v>
      </c>
      <c r="D15" s="54" t="s">
        <v>59</v>
      </c>
      <c r="E15" s="51" t="s">
        <v>61</v>
      </c>
    </row>
    <row r="16" spans="2:11" ht="30" thickTop="1" thickBot="1">
      <c r="B16" s="54" t="s">
        <v>58</v>
      </c>
      <c r="C16" s="54" t="s">
        <v>67</v>
      </c>
      <c r="D16" s="54" t="s">
        <v>59</v>
      </c>
      <c r="E16" s="51" t="s">
        <v>68</v>
      </c>
    </row>
    <row r="17" spans="2:5" ht="15.5" thickTop="1" thickBot="1">
      <c r="B17" s="54"/>
      <c r="C17" s="54"/>
      <c r="D17" s="54"/>
      <c r="E17" s="51"/>
    </row>
    <row r="18" spans="2:5" ht="15.5" thickTop="1" thickBot="1">
      <c r="B18" s="54"/>
      <c r="C18" s="54"/>
      <c r="D18" s="54"/>
      <c r="E18" s="51"/>
    </row>
    <row r="19" spans="2:5" ht="15.5" thickTop="1" thickBot="1">
      <c r="B19" s="49" t="s">
        <v>58</v>
      </c>
      <c r="C19" s="49" t="s">
        <v>62</v>
      </c>
      <c r="D19" s="49" t="s">
        <v>63</v>
      </c>
      <c r="E19" s="49" t="s">
        <v>64</v>
      </c>
    </row>
    <row r="20" spans="2:5" ht="15.5" thickTop="1" thickBot="1">
      <c r="B20" s="49"/>
      <c r="C20" s="49"/>
      <c r="D20" s="49"/>
      <c r="E20" s="49" t="s">
        <v>65</v>
      </c>
    </row>
    <row r="21" spans="2:5" ht="15.5" thickTop="1" thickBot="1">
      <c r="B21" s="49"/>
      <c r="C21" s="49"/>
      <c r="D21" s="49"/>
      <c r="E21" s="49" t="s">
        <v>66</v>
      </c>
    </row>
    <row r="22" spans="2:5" ht="15.5" thickTop="1" thickBot="1">
      <c r="B22" s="47" t="s">
        <v>80</v>
      </c>
      <c r="C22" s="47" t="s">
        <v>79</v>
      </c>
      <c r="D22" s="47" t="s">
        <v>81</v>
      </c>
      <c r="E22" s="48" t="s">
        <v>82</v>
      </c>
    </row>
    <row r="23" spans="2:5" ht="88" thickTop="1" thickBot="1">
      <c r="B23" s="49" t="s">
        <v>85</v>
      </c>
      <c r="C23" s="49" t="s">
        <v>84</v>
      </c>
      <c r="D23" s="49" t="s">
        <v>79</v>
      </c>
      <c r="E23" s="51" t="s">
        <v>83</v>
      </c>
    </row>
    <row r="24" spans="2:5" ht="15.5" thickTop="1" thickBot="1">
      <c r="B24" s="47" t="s">
        <v>85</v>
      </c>
      <c r="C24" s="47" t="s">
        <v>86</v>
      </c>
      <c r="D24" s="47" t="s">
        <v>54</v>
      </c>
      <c r="E24" s="48" t="s">
        <v>87</v>
      </c>
    </row>
    <row r="25" spans="2:5" ht="59" thickTop="1" thickBot="1">
      <c r="B25" s="49" t="s">
        <v>85</v>
      </c>
      <c r="C25" s="49" t="s">
        <v>88</v>
      </c>
      <c r="D25" s="50" t="s">
        <v>85</v>
      </c>
      <c r="E25" s="51" t="s">
        <v>89</v>
      </c>
    </row>
    <row r="26" spans="2:5" ht="30" thickTop="1" thickBot="1">
      <c r="B26" s="49" t="s">
        <v>85</v>
      </c>
      <c r="C26" s="51" t="s">
        <v>90</v>
      </c>
      <c r="D26" s="49" t="s">
        <v>91</v>
      </c>
      <c r="E26" s="49" t="s">
        <v>92</v>
      </c>
    </row>
    <row r="27" spans="2:5" ht="88" thickTop="1" thickBot="1">
      <c r="B27" s="49" t="s">
        <v>85</v>
      </c>
      <c r="C27" s="49" t="s">
        <v>93</v>
      </c>
      <c r="D27" s="50" t="s">
        <v>90</v>
      </c>
      <c r="E27" s="51" t="s">
        <v>94</v>
      </c>
    </row>
    <row r="28" spans="2:5" ht="15" thickTop="1"/>
  </sheetData>
  <hyperlinks>
    <hyperlink ref="K1" location="'Title Page'!A1" display="Title page" xr:uid="{00000000-0004-0000-0400-000000000000}"/>
  </hyperlink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1:Q127"/>
  <sheetViews>
    <sheetView showGridLines="0" topLeftCell="A7" zoomScale="68" zoomScaleNormal="68" workbookViewId="0">
      <selection activeCell="E132" sqref="E131:E132"/>
    </sheetView>
  </sheetViews>
  <sheetFormatPr defaultColWidth="8.81640625" defaultRowHeight="14.5"/>
  <cols>
    <col min="1" max="1" width="4" customWidth="1"/>
    <col min="2" max="7" width="70.6328125" customWidth="1"/>
    <col min="14" max="14" width="9.36328125" customWidth="1"/>
  </cols>
  <sheetData>
    <row r="1" spans="2:17">
      <c r="Q1" s="19" t="s">
        <v>19</v>
      </c>
    </row>
    <row r="10" spans="2:17" ht="18.5">
      <c r="B10" s="64" t="s">
        <v>98</v>
      </c>
      <c r="C10" s="64" t="s">
        <v>98</v>
      </c>
      <c r="D10" s="67" t="s">
        <v>111</v>
      </c>
      <c r="E10" s="67" t="s">
        <v>111</v>
      </c>
      <c r="F10" s="69" t="s">
        <v>116</v>
      </c>
    </row>
    <row r="11" spans="2:17" ht="37" customHeight="1">
      <c r="B11" s="68" t="s">
        <v>108</v>
      </c>
      <c r="C11" s="68" t="s">
        <v>109</v>
      </c>
      <c r="D11" s="68" t="s">
        <v>113</v>
      </c>
      <c r="E11" s="68" t="s">
        <v>112</v>
      </c>
      <c r="F11" s="68" t="s">
        <v>115</v>
      </c>
    </row>
    <row r="33" spans="2:7" ht="40" customHeight="1">
      <c r="B33" s="65" t="s">
        <v>106</v>
      </c>
      <c r="C33" s="96" t="s">
        <v>110</v>
      </c>
      <c r="D33" s="98" t="s">
        <v>120</v>
      </c>
      <c r="E33" s="98" t="s">
        <v>114</v>
      </c>
      <c r="F33" s="90" t="s">
        <v>117</v>
      </c>
    </row>
    <row r="34" spans="2:7" ht="37">
      <c r="B34" s="65" t="s">
        <v>107</v>
      </c>
      <c r="C34" s="97"/>
      <c r="D34" s="99"/>
      <c r="E34" s="99"/>
      <c r="F34" s="91"/>
    </row>
    <row r="37" spans="2:7" ht="18.5">
      <c r="B37" s="73" t="s">
        <v>118</v>
      </c>
      <c r="C37" s="70" t="s">
        <v>121</v>
      </c>
      <c r="D37" s="71" t="s">
        <v>124</v>
      </c>
      <c r="E37" s="71" t="s">
        <v>124</v>
      </c>
      <c r="F37" s="71" t="s">
        <v>124</v>
      </c>
      <c r="G37" s="84"/>
    </row>
    <row r="38" spans="2:7" ht="37" customHeight="1">
      <c r="B38" s="68" t="s">
        <v>119</v>
      </c>
      <c r="C38" s="68" t="s">
        <v>122</v>
      </c>
      <c r="D38" s="68" t="s">
        <v>125</v>
      </c>
      <c r="E38" s="68" t="s">
        <v>126</v>
      </c>
      <c r="F38" s="68" t="s">
        <v>173</v>
      </c>
      <c r="G38" s="79"/>
    </row>
    <row r="64" spans="2:7" ht="56" customHeight="1">
      <c r="B64" s="92" t="s">
        <v>169</v>
      </c>
      <c r="C64" s="94" t="s">
        <v>123</v>
      </c>
      <c r="D64" s="88" t="s">
        <v>150</v>
      </c>
      <c r="E64" s="88" t="s">
        <v>127</v>
      </c>
      <c r="F64" s="88" t="s">
        <v>174</v>
      </c>
      <c r="G64" s="100"/>
    </row>
    <row r="65" spans="2:7" ht="14.5" customHeight="1">
      <c r="B65" s="93"/>
      <c r="C65" s="95"/>
      <c r="D65" s="89"/>
      <c r="E65" s="89"/>
      <c r="F65" s="89"/>
      <c r="G65" s="100"/>
    </row>
    <row r="68" spans="2:7" ht="18.5">
      <c r="B68" s="72" t="s">
        <v>128</v>
      </c>
      <c r="C68" s="72" t="s">
        <v>128</v>
      </c>
      <c r="D68" s="72" t="s">
        <v>128</v>
      </c>
      <c r="E68" s="75" t="s">
        <v>132</v>
      </c>
      <c r="F68" s="76" t="s">
        <v>135</v>
      </c>
      <c r="G68" s="84"/>
    </row>
    <row r="69" spans="2:7" ht="37" customHeight="1">
      <c r="B69" s="68" t="s">
        <v>130</v>
      </c>
      <c r="C69" s="68" t="s">
        <v>129</v>
      </c>
      <c r="D69" s="68" t="s">
        <v>177</v>
      </c>
      <c r="E69" s="68" t="s">
        <v>134</v>
      </c>
      <c r="F69" s="83" t="s">
        <v>139</v>
      </c>
      <c r="G69" s="85"/>
    </row>
    <row r="95" spans="2:7" ht="56" customHeight="1">
      <c r="B95" s="101" t="s">
        <v>131</v>
      </c>
      <c r="C95" s="101" t="s">
        <v>178</v>
      </c>
      <c r="D95" s="101" t="s">
        <v>179</v>
      </c>
      <c r="E95" s="103" t="s">
        <v>180</v>
      </c>
      <c r="F95" s="86" t="s">
        <v>140</v>
      </c>
      <c r="G95" s="100"/>
    </row>
    <row r="96" spans="2:7" s="74" customFormat="1" ht="14.5" customHeight="1">
      <c r="B96" s="102"/>
      <c r="C96" s="102"/>
      <c r="D96" s="102"/>
      <c r="E96" s="104"/>
      <c r="F96" s="87"/>
      <c r="G96" s="100" t="s">
        <v>176</v>
      </c>
    </row>
    <row r="99" spans="2:6" ht="18.5">
      <c r="B99" s="76" t="s">
        <v>135</v>
      </c>
      <c r="C99" s="76" t="s">
        <v>135</v>
      </c>
      <c r="D99" s="77" t="s">
        <v>143</v>
      </c>
      <c r="E99" s="77" t="s">
        <v>143</v>
      </c>
      <c r="F99" s="77" t="s">
        <v>143</v>
      </c>
    </row>
    <row r="100" spans="2:6" ht="37" customHeight="1">
      <c r="B100" s="68" t="s">
        <v>136</v>
      </c>
      <c r="C100" s="68" t="s">
        <v>137</v>
      </c>
      <c r="D100" s="68" t="s">
        <v>145</v>
      </c>
      <c r="E100" s="68" t="s">
        <v>144</v>
      </c>
      <c r="F100" s="68" t="s">
        <v>148</v>
      </c>
    </row>
    <row r="126" spans="2:6" ht="56" customHeight="1">
      <c r="B126" s="86" t="s">
        <v>141</v>
      </c>
      <c r="C126" s="86" t="s">
        <v>142</v>
      </c>
      <c r="D126" s="88" t="s">
        <v>147</v>
      </c>
      <c r="E126" s="88" t="s">
        <v>146</v>
      </c>
      <c r="F126" s="88" t="s">
        <v>149</v>
      </c>
    </row>
    <row r="127" spans="2:6" ht="14.5" customHeight="1">
      <c r="B127" s="87"/>
      <c r="C127" s="87"/>
      <c r="D127" s="89"/>
      <c r="E127" s="89"/>
      <c r="F127" s="89"/>
    </row>
  </sheetData>
  <mergeCells count="21">
    <mergeCell ref="G64:G65"/>
    <mergeCell ref="G95:G96"/>
    <mergeCell ref="B95:B96"/>
    <mergeCell ref="C95:C96"/>
    <mergeCell ref="D95:D96"/>
    <mergeCell ref="E95:E96"/>
    <mergeCell ref="F95:F96"/>
    <mergeCell ref="B126:B127"/>
    <mergeCell ref="C126:C127"/>
    <mergeCell ref="D126:D127"/>
    <mergeCell ref="F33:F34"/>
    <mergeCell ref="B64:B65"/>
    <mergeCell ref="C64:C65"/>
    <mergeCell ref="D64:D65"/>
    <mergeCell ref="E64:E65"/>
    <mergeCell ref="F64:F65"/>
    <mergeCell ref="C33:C34"/>
    <mergeCell ref="D33:D34"/>
    <mergeCell ref="E33:E34"/>
    <mergeCell ref="E126:E127"/>
    <mergeCell ref="F126:F127"/>
  </mergeCells>
  <hyperlinks>
    <hyperlink ref="Q1" location="'Title Page'!A1" display="Title page" xr:uid="{00000000-0004-0000-0500-000000000000}"/>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1:Q49"/>
  <sheetViews>
    <sheetView showGridLines="0" zoomScale="98" zoomScaleNormal="98" workbookViewId="0">
      <selection activeCell="D15" sqref="D15:E15"/>
    </sheetView>
  </sheetViews>
  <sheetFormatPr defaultColWidth="8.81640625" defaultRowHeight="14.5"/>
  <cols>
    <col min="1" max="1" width="4" customWidth="1"/>
    <col min="2" max="2" width="87" customWidth="1"/>
    <col min="3" max="3" width="21.54296875" customWidth="1"/>
    <col min="4" max="4" width="120.6328125" customWidth="1"/>
    <col min="5" max="5" width="21.54296875" customWidth="1"/>
  </cols>
  <sheetData>
    <row r="1" spans="2:17">
      <c r="Q1" s="19" t="s">
        <v>19</v>
      </c>
    </row>
    <row r="11" spans="2:17" ht="18.5">
      <c r="B11" s="60"/>
      <c r="C11" s="60"/>
      <c r="D11" s="60"/>
    </row>
    <row r="12" spans="2:17" ht="23.5">
      <c r="B12" s="135" t="s">
        <v>21</v>
      </c>
      <c r="C12" s="136"/>
      <c r="D12" s="137" t="s">
        <v>22</v>
      </c>
      <c r="E12" s="138"/>
    </row>
    <row r="13" spans="2:17" ht="23.5">
      <c r="B13" s="80"/>
      <c r="C13" s="81"/>
      <c r="D13" s="82"/>
      <c r="E13" s="61"/>
    </row>
    <row r="14" spans="2:17" ht="18.5">
      <c r="B14" s="112" t="s">
        <v>98</v>
      </c>
      <c r="C14" s="113"/>
      <c r="D14" s="112" t="s">
        <v>151</v>
      </c>
      <c r="E14" s="113"/>
    </row>
    <row r="15" spans="2:17" ht="160" customHeight="1">
      <c r="B15" s="122" t="s">
        <v>97</v>
      </c>
      <c r="C15" s="123"/>
      <c r="D15" s="133" t="s">
        <v>186</v>
      </c>
      <c r="E15" s="134"/>
    </row>
    <row r="16" spans="2:17" ht="18.5">
      <c r="B16" s="62"/>
      <c r="C16" s="60"/>
      <c r="D16" s="60"/>
    </row>
    <row r="17" spans="2:5" ht="18.5">
      <c r="B17" s="114" t="s">
        <v>111</v>
      </c>
      <c r="C17" s="115"/>
      <c r="D17" s="114" t="s">
        <v>152</v>
      </c>
      <c r="E17" s="115"/>
    </row>
    <row r="18" spans="2:5" ht="160" customHeight="1">
      <c r="B18" s="122" t="s">
        <v>102</v>
      </c>
      <c r="C18" s="123"/>
      <c r="D18" s="133" t="s">
        <v>185</v>
      </c>
      <c r="E18" s="134"/>
    </row>
    <row r="19" spans="2:5" ht="18.5">
      <c r="B19" s="63"/>
      <c r="C19" s="60"/>
      <c r="D19" s="60"/>
    </row>
    <row r="20" spans="2:5" ht="18.5">
      <c r="B20" s="116" t="s">
        <v>155</v>
      </c>
      <c r="C20" s="117"/>
      <c r="D20" s="116" t="s">
        <v>153</v>
      </c>
      <c r="E20" s="117"/>
    </row>
    <row r="21" spans="2:5" ht="180" customHeight="1">
      <c r="B21" s="122" t="s">
        <v>99</v>
      </c>
      <c r="C21" s="123"/>
      <c r="D21" s="133" t="s">
        <v>170</v>
      </c>
      <c r="E21" s="134"/>
    </row>
    <row r="22" spans="2:5" ht="18.5">
      <c r="B22" s="126"/>
      <c r="C22" s="126"/>
      <c r="D22" s="60"/>
    </row>
    <row r="23" spans="2:5" ht="18.5">
      <c r="B23" s="118" t="s">
        <v>156</v>
      </c>
      <c r="C23" s="119"/>
      <c r="D23" s="118" t="s">
        <v>154</v>
      </c>
      <c r="E23" s="119"/>
    </row>
    <row r="24" spans="2:5" ht="130" customHeight="1">
      <c r="B24" s="122" t="s">
        <v>138</v>
      </c>
      <c r="C24" s="123"/>
      <c r="D24" s="133" t="s">
        <v>171</v>
      </c>
      <c r="E24" s="134"/>
    </row>
    <row r="25" spans="2:5" ht="18.5">
      <c r="B25" s="126"/>
      <c r="C25" s="126"/>
      <c r="D25" s="60"/>
    </row>
    <row r="26" spans="2:5" ht="18.5">
      <c r="B26" s="120" t="s">
        <v>157</v>
      </c>
      <c r="C26" s="121"/>
      <c r="D26" s="120" t="s">
        <v>163</v>
      </c>
      <c r="E26" s="121"/>
    </row>
    <row r="27" spans="2:5" ht="160" customHeight="1">
      <c r="B27" s="122" t="s">
        <v>100</v>
      </c>
      <c r="C27" s="123"/>
      <c r="D27" s="133" t="s">
        <v>172</v>
      </c>
      <c r="E27" s="134"/>
    </row>
    <row r="28" spans="2:5" ht="18.5">
      <c r="B28" s="126"/>
      <c r="C28" s="126"/>
      <c r="D28" s="60"/>
    </row>
    <row r="29" spans="2:5" ht="18.5">
      <c r="B29" s="127" t="s">
        <v>158</v>
      </c>
      <c r="C29" s="128"/>
      <c r="D29" s="127" t="s">
        <v>165</v>
      </c>
      <c r="E29" s="128"/>
    </row>
    <row r="30" spans="2:5" ht="180" customHeight="1">
      <c r="B30" s="122" t="s">
        <v>101</v>
      </c>
      <c r="C30" s="123"/>
      <c r="D30" s="133" t="s">
        <v>175</v>
      </c>
      <c r="E30" s="134"/>
    </row>
    <row r="31" spans="2:5" ht="18.5">
      <c r="B31" s="124"/>
      <c r="C31" s="125"/>
      <c r="D31" s="60"/>
    </row>
    <row r="32" spans="2:5" ht="18.5">
      <c r="B32" s="129" t="s">
        <v>159</v>
      </c>
      <c r="C32" s="130"/>
      <c r="D32" s="129" t="s">
        <v>164</v>
      </c>
      <c r="E32" s="130"/>
    </row>
    <row r="33" spans="2:5" ht="180" customHeight="1">
      <c r="B33" s="122" t="s">
        <v>103</v>
      </c>
      <c r="C33" s="123"/>
      <c r="D33" s="133" t="s">
        <v>181</v>
      </c>
      <c r="E33" s="134"/>
    </row>
    <row r="34" spans="2:5" ht="18.5">
      <c r="B34" s="126"/>
      <c r="C34" s="126"/>
      <c r="D34" s="60"/>
    </row>
    <row r="35" spans="2:5" ht="18.5">
      <c r="B35" s="131" t="s">
        <v>160</v>
      </c>
      <c r="C35" s="132"/>
      <c r="D35" s="131" t="s">
        <v>166</v>
      </c>
      <c r="E35" s="132"/>
    </row>
    <row r="36" spans="2:5" ht="180" customHeight="1">
      <c r="B36" s="122" t="s">
        <v>133</v>
      </c>
      <c r="C36" s="123"/>
      <c r="D36" s="133" t="s">
        <v>182</v>
      </c>
      <c r="E36" s="134"/>
    </row>
    <row r="37" spans="2:5" ht="18.5">
      <c r="B37" s="66"/>
      <c r="C37" s="66"/>
      <c r="D37" s="60"/>
    </row>
    <row r="38" spans="2:5" ht="18.5">
      <c r="B38" s="108" t="s">
        <v>161</v>
      </c>
      <c r="C38" s="109"/>
      <c r="D38" s="108" t="s">
        <v>167</v>
      </c>
      <c r="E38" s="109"/>
    </row>
    <row r="39" spans="2:5" ht="180" customHeight="1">
      <c r="B39" s="122" t="s">
        <v>104</v>
      </c>
      <c r="C39" s="123"/>
      <c r="D39" s="133" t="s">
        <v>183</v>
      </c>
      <c r="E39" s="134"/>
    </row>
    <row r="40" spans="2:5" ht="18.5">
      <c r="B40" s="78"/>
      <c r="C40" s="78"/>
      <c r="D40" s="60"/>
    </row>
    <row r="41" spans="2:5" ht="18.5">
      <c r="B41" s="110" t="s">
        <v>162</v>
      </c>
      <c r="C41" s="111"/>
      <c r="D41" s="110" t="s">
        <v>168</v>
      </c>
      <c r="E41" s="111"/>
    </row>
    <row r="42" spans="2:5" ht="220" customHeight="1">
      <c r="B42" s="122" t="s">
        <v>105</v>
      </c>
      <c r="C42" s="123"/>
      <c r="D42" s="133" t="s">
        <v>184</v>
      </c>
      <c r="E42" s="134"/>
    </row>
    <row r="43" spans="2:5" ht="18.5">
      <c r="B43" s="60"/>
      <c r="C43" s="60"/>
      <c r="D43" s="60"/>
    </row>
    <row r="44" spans="2:5" ht="18.5">
      <c r="B44" s="60"/>
      <c r="C44" s="60"/>
      <c r="D44" s="60"/>
    </row>
    <row r="45" spans="2:5" ht="18.5">
      <c r="B45" s="60"/>
      <c r="C45" s="60"/>
      <c r="D45" s="60"/>
    </row>
    <row r="46" spans="2:5" ht="18.5">
      <c r="B46" s="60"/>
      <c r="C46" s="60"/>
      <c r="D46" s="60"/>
    </row>
    <row r="47" spans="2:5" ht="18.5">
      <c r="B47" s="60"/>
      <c r="C47" s="60"/>
      <c r="D47" s="60"/>
    </row>
    <row r="48" spans="2:5" ht="18.5">
      <c r="B48" s="60"/>
      <c r="C48" s="60"/>
      <c r="D48" s="60"/>
    </row>
    <row r="49" spans="2:4" ht="18.5">
      <c r="B49" s="60"/>
      <c r="C49" s="60"/>
      <c r="D49" s="60"/>
    </row>
  </sheetData>
  <mergeCells count="47">
    <mergeCell ref="D32:E32"/>
    <mergeCell ref="D35:E35"/>
    <mergeCell ref="D41:E41"/>
    <mergeCell ref="D38:E38"/>
    <mergeCell ref="D15:E15"/>
    <mergeCell ref="D33:E33"/>
    <mergeCell ref="D36:E36"/>
    <mergeCell ref="D39:E39"/>
    <mergeCell ref="D27:E27"/>
    <mergeCell ref="D30:E30"/>
    <mergeCell ref="B12:C12"/>
    <mergeCell ref="D12:E12"/>
    <mergeCell ref="D20:E20"/>
    <mergeCell ref="D23:E23"/>
    <mergeCell ref="D26:E26"/>
    <mergeCell ref="D18:E18"/>
    <mergeCell ref="D21:E21"/>
    <mergeCell ref="D24:E24"/>
    <mergeCell ref="B42:C42"/>
    <mergeCell ref="D14:E14"/>
    <mergeCell ref="D17:E17"/>
    <mergeCell ref="B15:C15"/>
    <mergeCell ref="B18:C18"/>
    <mergeCell ref="B21:C21"/>
    <mergeCell ref="B22:C22"/>
    <mergeCell ref="B24:C24"/>
    <mergeCell ref="B25:C25"/>
    <mergeCell ref="B34:C34"/>
    <mergeCell ref="B39:C39"/>
    <mergeCell ref="B29:C29"/>
    <mergeCell ref="B32:C32"/>
    <mergeCell ref="B35:C35"/>
    <mergeCell ref="D42:E42"/>
    <mergeCell ref="D29:E29"/>
    <mergeCell ref="B38:C38"/>
    <mergeCell ref="B41:C41"/>
    <mergeCell ref="B14:C14"/>
    <mergeCell ref="B17:C17"/>
    <mergeCell ref="B20:C20"/>
    <mergeCell ref="B23:C23"/>
    <mergeCell ref="B26:C26"/>
    <mergeCell ref="B33:C33"/>
    <mergeCell ref="B36:C36"/>
    <mergeCell ref="B31:C31"/>
    <mergeCell ref="B27:C27"/>
    <mergeCell ref="B28:C28"/>
    <mergeCell ref="B30:C30"/>
  </mergeCells>
  <hyperlinks>
    <hyperlink ref="Q1" location="'Title Page'!A1" display="Title page" xr:uid="{00000000-0004-0000-0600-000000000000}"/>
  </hyperlink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 Title Page</vt:lpstr>
      <vt:lpstr>Data Citation Tab</vt:lpstr>
      <vt:lpstr>2. Population Flow</vt:lpstr>
      <vt:lpstr>3. Consistency checks</vt:lpstr>
      <vt:lpstr>4. Wrangling steps</vt:lpstr>
      <vt:lpstr>5. Column derivations</vt:lpstr>
      <vt:lpstr>6. Visualizations</vt:lpstr>
      <vt:lpstr>7. Recommendations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Mansukhani, Nikhil</cp:lastModifiedBy>
  <dcterms:created xsi:type="dcterms:W3CDTF">2020-03-05T18:09:11Z</dcterms:created>
  <dcterms:modified xsi:type="dcterms:W3CDTF">2024-04-03T20:39:19Z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faa839c6-8de9-45b8-a844-4ef36e6ab905</vt:lpwstr>
  </property>
</Properties>
</file>